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MIN\Desktop\"/>
    </mc:Choice>
  </mc:AlternateContent>
  <xr:revisionPtr revIDLastSave="0" documentId="13_ncr:1_{F6C80B32-3791-4E45-A263-DFD6F190311E}" xr6:coauthVersionLast="47" xr6:coauthVersionMax="47" xr10:uidLastSave="{00000000-0000-0000-0000-000000000000}"/>
  <bookViews>
    <workbookView xWindow="-120" yWindow="-120" windowWidth="20730" windowHeight="11160" xr2:uid="{2441546F-0E30-42C6-A918-FFE81DA238D1}"/>
  </bookViews>
  <sheets>
    <sheet name="Employee Performance Dashboard" sheetId="8" r:id="rId1"/>
    <sheet name="Pivot Table" sheetId="7" r:id="rId2"/>
    <sheet name="KPI" sheetId="10" r:id="rId3"/>
    <sheet name="MAPPING TABLE" sheetId="9" r:id="rId4"/>
    <sheet name="RAW DATA" sheetId="4" r:id="rId5"/>
  </sheets>
  <definedNames>
    <definedName name="_xlchart.v5.0" hidden="1">'MAPPING TABLE'!$A$1</definedName>
    <definedName name="_xlchart.v5.1" hidden="1">'MAPPING TABLE'!$A$2:$A$5</definedName>
    <definedName name="_xlchart.v5.2" hidden="1">'MAPPING TABLE'!$B$1</definedName>
    <definedName name="_xlchart.v5.3" hidden="1">'MAPPING TABLE'!$B$2:$B$5</definedName>
    <definedName name="Slicer_Department">#N/A</definedName>
    <definedName name="Slicer_Performance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9" l="1"/>
  <c r="B4" i="10"/>
  <c r="B5" i="10"/>
  <c r="B3" i="10"/>
  <c r="B5" i="9"/>
  <c r="B4" i="9"/>
  <c r="B6" i="10"/>
  <c r="B2" i="10"/>
  <c r="B2" i="9"/>
</calcChain>
</file>

<file path=xl/sharedStrings.xml><?xml version="1.0" encoding="utf-8"?>
<sst xmlns="http://schemas.openxmlformats.org/spreadsheetml/2006/main" count="1367" uniqueCount="295">
  <si>
    <t>Date</t>
  </si>
  <si>
    <t>Month</t>
  </si>
  <si>
    <t>Employee Name</t>
  </si>
  <si>
    <t>Department</t>
  </si>
  <si>
    <t>Region</t>
  </si>
  <si>
    <t>Working Days</t>
  </si>
  <si>
    <t>Attendance Status</t>
  </si>
  <si>
    <t>Target Tasks</t>
  </si>
  <si>
    <t>Completed Tasks</t>
  </si>
  <si>
    <t>Pending Tasks</t>
  </si>
  <si>
    <t>Target Hours</t>
  </si>
  <si>
    <t>Actual Hours</t>
  </si>
  <si>
    <t>Overtime Hours</t>
  </si>
  <si>
    <t>Productivity %</t>
  </si>
  <si>
    <t>Quality Score %</t>
  </si>
  <si>
    <t>Achievement %</t>
  </si>
  <si>
    <t>Performance Status</t>
  </si>
  <si>
    <t>Jan</t>
  </si>
  <si>
    <t>James Smith</t>
  </si>
  <si>
    <t>Sales</t>
  </si>
  <si>
    <t>California</t>
  </si>
  <si>
    <t>Present</t>
  </si>
  <si>
    <t>High Performer</t>
  </si>
  <si>
    <t>Mary Johnson</t>
  </si>
  <si>
    <t>Texas</t>
  </si>
  <si>
    <t>Leave</t>
  </si>
  <si>
    <t>Robert Williams</t>
  </si>
  <si>
    <t>Marketing</t>
  </si>
  <si>
    <t>Florida</t>
  </si>
  <si>
    <t>Jennifer Brown</t>
  </si>
  <si>
    <t>Michael Jones</t>
  </si>
  <si>
    <t>Finance</t>
  </si>
  <si>
    <t>New York</t>
  </si>
  <si>
    <t>Linda Garcia</t>
  </si>
  <si>
    <t>David Miller</t>
  </si>
  <si>
    <t>HR</t>
  </si>
  <si>
    <t>Sarah Davis</t>
  </si>
  <si>
    <t>Work From Home</t>
  </si>
  <si>
    <t>John Rodriguez</t>
  </si>
  <si>
    <t>Operations</t>
  </si>
  <si>
    <t>On Track</t>
  </si>
  <si>
    <t>Emily Martinez</t>
  </si>
  <si>
    <t>Jessica Lopez</t>
  </si>
  <si>
    <t>IT</t>
  </si>
  <si>
    <t>Christopher Wilson</t>
  </si>
  <si>
    <t>Amanda Anderson</t>
  </si>
  <si>
    <t>Matthew Taylor</t>
  </si>
  <si>
    <t>Ashley Thomas</t>
  </si>
  <si>
    <t>Feb</t>
  </si>
  <si>
    <t>Andrew Moore</t>
  </si>
  <si>
    <t>Olivia Jackson</t>
  </si>
  <si>
    <t>Sophia Lee</t>
  </si>
  <si>
    <t>Mar</t>
  </si>
  <si>
    <t>Daniel Hernandez</t>
  </si>
  <si>
    <t>Needs Improvement</t>
  </si>
  <si>
    <t>Apr</t>
  </si>
  <si>
    <t>Joshua Martin</t>
  </si>
  <si>
    <t>May</t>
  </si>
  <si>
    <t>Jun</t>
  </si>
  <si>
    <t>Jul</t>
  </si>
  <si>
    <t>Maary Johnson</t>
  </si>
  <si>
    <t>Lindaa Gaarciaa</t>
  </si>
  <si>
    <t>Saaraah Daavis</t>
  </si>
  <si>
    <t>Oliviaa Jaackson</t>
  </si>
  <si>
    <t>Joshuaa Maartin</t>
  </si>
  <si>
    <t>Jaamrs Smith</t>
  </si>
  <si>
    <t>Robrrt Williaams</t>
  </si>
  <si>
    <t>Jrnnifrr Brown</t>
  </si>
  <si>
    <t>Michaarl Jonrs</t>
  </si>
  <si>
    <t>Daavid Millrr</t>
  </si>
  <si>
    <t>John Rodrigurz</t>
  </si>
  <si>
    <t>rmily Maartinrz</t>
  </si>
  <si>
    <t>Jrssicaa Loprz</t>
  </si>
  <si>
    <t>Christophrr Wilson</t>
  </si>
  <si>
    <t>aamaandaa aandrrson</t>
  </si>
  <si>
    <t>Maatthrw Taaylor</t>
  </si>
  <si>
    <t>aashlry Thomaas</t>
  </si>
  <si>
    <t>aandrrw Moorr</t>
  </si>
  <si>
    <t>Sophiaa Lrr</t>
  </si>
  <si>
    <t>Daanirl Hrrnaandrz</t>
  </si>
  <si>
    <t>aug</t>
  </si>
  <si>
    <t>oct</t>
  </si>
  <si>
    <t>dec</t>
  </si>
  <si>
    <t>nov</t>
  </si>
  <si>
    <t>sep</t>
  </si>
  <si>
    <t xml:space="preserve"> aandrrson</t>
  </si>
  <si>
    <t xml:space="preserve"> Johnson</t>
  </si>
  <si>
    <t xml:space="preserve"> Williaams</t>
  </si>
  <si>
    <t xml:space="preserve"> Brown</t>
  </si>
  <si>
    <t xml:space="preserve"> Millrr</t>
  </si>
  <si>
    <t>Daavis</t>
  </si>
  <si>
    <t>Rodrigurz</t>
  </si>
  <si>
    <t xml:space="preserve">Emily </t>
  </si>
  <si>
    <t xml:space="preserve">Maatthrw </t>
  </si>
  <si>
    <t>aamaanda</t>
  </si>
  <si>
    <t xml:space="preserve"> Jonrs</t>
  </si>
  <si>
    <t>Joshuaa</t>
  </si>
  <si>
    <t>EMP001</t>
  </si>
  <si>
    <t>EMP002</t>
  </si>
  <si>
    <t>EMP003</t>
  </si>
  <si>
    <t>EMP004</t>
  </si>
  <si>
    <t>EMP005</t>
  </si>
  <si>
    <t>EMP006</t>
  </si>
  <si>
    <t>EMP007</t>
  </si>
  <si>
    <t>EMP008</t>
  </si>
  <si>
    <t>EMP009</t>
  </si>
  <si>
    <t>EMP010</t>
  </si>
  <si>
    <t>EMP012</t>
  </si>
  <si>
    <t>EMP013</t>
  </si>
  <si>
    <t>EMP014</t>
  </si>
  <si>
    <t>EMP015</t>
  </si>
  <si>
    <t>EMP016</t>
  </si>
  <si>
    <t>EMP017</t>
  </si>
  <si>
    <t>EMP018</t>
  </si>
  <si>
    <t>EMP020</t>
  </si>
  <si>
    <t>EMP011</t>
  </si>
  <si>
    <t>EMP019</t>
  </si>
  <si>
    <t>EMP120</t>
  </si>
  <si>
    <t>EMP101</t>
  </si>
  <si>
    <t>EMP022</t>
  </si>
  <si>
    <t>EMP023</t>
  </si>
  <si>
    <t>EMP118</t>
  </si>
  <si>
    <t>EMP117</t>
  </si>
  <si>
    <t>EMP116</t>
  </si>
  <si>
    <t>EMP115</t>
  </si>
  <si>
    <t>EMP114</t>
  </si>
  <si>
    <t>EMP112</t>
  </si>
  <si>
    <t>EMP111</t>
  </si>
  <si>
    <t>EMP110</t>
  </si>
  <si>
    <t>EMP119</t>
  </si>
  <si>
    <t>EMP028</t>
  </si>
  <si>
    <t>EMP053</t>
  </si>
  <si>
    <t>EMP106</t>
  </si>
  <si>
    <t>EMP153</t>
  </si>
  <si>
    <t>EMP021</t>
  </si>
  <si>
    <t>EMP024</t>
  </si>
  <si>
    <t>EMP025</t>
  </si>
  <si>
    <t>EMP026</t>
  </si>
  <si>
    <t>EMP027</t>
  </si>
  <si>
    <t>EMP029</t>
  </si>
  <si>
    <t>EMP030</t>
  </si>
  <si>
    <t>EMP031</t>
  </si>
  <si>
    <t>EMP032</t>
  </si>
  <si>
    <t>EMP033</t>
  </si>
  <si>
    <t>EMP034</t>
  </si>
  <si>
    <t>EMP035</t>
  </si>
  <si>
    <t>EMP036</t>
  </si>
  <si>
    <t>EMP037</t>
  </si>
  <si>
    <t>EMP038</t>
  </si>
  <si>
    <t>EMP039</t>
  </si>
  <si>
    <t>EMP040</t>
  </si>
  <si>
    <t>EMP041</t>
  </si>
  <si>
    <t>EMP042</t>
  </si>
  <si>
    <t>EMP043</t>
  </si>
  <si>
    <t>EMP044</t>
  </si>
  <si>
    <t>EMP045</t>
  </si>
  <si>
    <t>EMP046</t>
  </si>
  <si>
    <t>EMP047</t>
  </si>
  <si>
    <t>EMP048</t>
  </si>
  <si>
    <t>EMP049</t>
  </si>
  <si>
    <t>EMP050</t>
  </si>
  <si>
    <t>EMP051</t>
  </si>
  <si>
    <t>EMP052</t>
  </si>
  <si>
    <t>EMP054</t>
  </si>
  <si>
    <t>EMP055</t>
  </si>
  <si>
    <t>EMP056</t>
  </si>
  <si>
    <t>EMP057</t>
  </si>
  <si>
    <t>EMP058</t>
  </si>
  <si>
    <t>EMP059</t>
  </si>
  <si>
    <t>EMP060</t>
  </si>
  <si>
    <t>EMP061</t>
  </si>
  <si>
    <t>EMP062</t>
  </si>
  <si>
    <t>EMP063</t>
  </si>
  <si>
    <t>EMP064</t>
  </si>
  <si>
    <t>EMP065</t>
  </si>
  <si>
    <t>EMP066</t>
  </si>
  <si>
    <t>EMP067</t>
  </si>
  <si>
    <t>EMP068</t>
  </si>
  <si>
    <t>EMP069</t>
  </si>
  <si>
    <t>EMP070</t>
  </si>
  <si>
    <t>EMP071</t>
  </si>
  <si>
    <t>EMP072</t>
  </si>
  <si>
    <t>EMP073</t>
  </si>
  <si>
    <t>EMP074</t>
  </si>
  <si>
    <t>EMP075</t>
  </si>
  <si>
    <t>EMP076</t>
  </si>
  <si>
    <t>EMP077</t>
  </si>
  <si>
    <t>EMP078</t>
  </si>
  <si>
    <t>EMP079</t>
  </si>
  <si>
    <t>EMP080</t>
  </si>
  <si>
    <t>EMP081</t>
  </si>
  <si>
    <t>EMP082</t>
  </si>
  <si>
    <t>EMP083</t>
  </si>
  <si>
    <t>EMP084</t>
  </si>
  <si>
    <t>EMP085</t>
  </si>
  <si>
    <t>EMP086</t>
  </si>
  <si>
    <t>EMP087</t>
  </si>
  <si>
    <t>EMP088</t>
  </si>
  <si>
    <t>EMP089</t>
  </si>
  <si>
    <t>EMP090</t>
  </si>
  <si>
    <t>EMP091</t>
  </si>
  <si>
    <t>EMP092</t>
  </si>
  <si>
    <t>EMP093</t>
  </si>
  <si>
    <t>EMP094</t>
  </si>
  <si>
    <t>EMP095</t>
  </si>
  <si>
    <t>EMP096</t>
  </si>
  <si>
    <t>EMP097</t>
  </si>
  <si>
    <t>EMP098</t>
  </si>
  <si>
    <t>EMP099</t>
  </si>
  <si>
    <t>EMP100</t>
  </si>
  <si>
    <t>EMP102</t>
  </si>
  <si>
    <t>EMP103</t>
  </si>
  <si>
    <t>EMP104</t>
  </si>
  <si>
    <t>EMP105</t>
  </si>
  <si>
    <t>EMP107</t>
  </si>
  <si>
    <t>EMP108</t>
  </si>
  <si>
    <t>EMP109</t>
  </si>
  <si>
    <t>EMP113</t>
  </si>
  <si>
    <t>EMP121</t>
  </si>
  <si>
    <t>EMP122</t>
  </si>
  <si>
    <t>EMP123</t>
  </si>
  <si>
    <t>EMP124</t>
  </si>
  <si>
    <t>EMP125</t>
  </si>
  <si>
    <t>EMP126</t>
  </si>
  <si>
    <t>EMP127</t>
  </si>
  <si>
    <t>EMP128</t>
  </si>
  <si>
    <t>EMP129</t>
  </si>
  <si>
    <t>EMP130</t>
  </si>
  <si>
    <t>EMP131</t>
  </si>
  <si>
    <t>EMP132</t>
  </si>
  <si>
    <t>EMP133</t>
  </si>
  <si>
    <t>EMP134</t>
  </si>
  <si>
    <t>EMP135</t>
  </si>
  <si>
    <t>EMP136</t>
  </si>
  <si>
    <t>EMP137</t>
  </si>
  <si>
    <t>EMP138</t>
  </si>
  <si>
    <t>EMP139</t>
  </si>
  <si>
    <t>EMP140</t>
  </si>
  <si>
    <t>EMP141</t>
  </si>
  <si>
    <t>EMP142</t>
  </si>
  <si>
    <t>EMP143</t>
  </si>
  <si>
    <t>EMP144</t>
  </si>
  <si>
    <t>EMP145</t>
  </si>
  <si>
    <t>EMP146</t>
  </si>
  <si>
    <t>EMP147</t>
  </si>
  <si>
    <t>EMP148</t>
  </si>
  <si>
    <t>EMP149</t>
  </si>
  <si>
    <t>EMP150</t>
  </si>
  <si>
    <t>EMP151</t>
  </si>
  <si>
    <t>EMP152</t>
  </si>
  <si>
    <t>EMP154</t>
  </si>
  <si>
    <t>EMP155</t>
  </si>
  <si>
    <t>EMP156</t>
  </si>
  <si>
    <t>EMP157</t>
  </si>
  <si>
    <t>EMP158</t>
  </si>
  <si>
    <t>EMP159</t>
  </si>
  <si>
    <t>EMP160</t>
  </si>
  <si>
    <t>EMP161</t>
  </si>
  <si>
    <t>EMP162</t>
  </si>
  <si>
    <t>EMP163</t>
  </si>
  <si>
    <t>EMP164</t>
  </si>
  <si>
    <t>EMP165</t>
  </si>
  <si>
    <t>EMP166</t>
  </si>
  <si>
    <t>EMP167</t>
  </si>
  <si>
    <t>EMP168</t>
  </si>
  <si>
    <t>EMP169</t>
  </si>
  <si>
    <t>EMP170</t>
  </si>
  <si>
    <t>EMP171</t>
  </si>
  <si>
    <t>EMP172</t>
  </si>
  <si>
    <t>EMP173</t>
  </si>
  <si>
    <t>EMP174</t>
  </si>
  <si>
    <t>EMP175</t>
  </si>
  <si>
    <t>EMP176</t>
  </si>
  <si>
    <t>EMP177</t>
  </si>
  <si>
    <t>EMP178</t>
  </si>
  <si>
    <t>EMP179</t>
  </si>
  <si>
    <t>Emp ID</t>
  </si>
  <si>
    <t>Grand Total</t>
  </si>
  <si>
    <t>Average of Achievement %</t>
  </si>
  <si>
    <t>Average of Productivity %</t>
  </si>
  <si>
    <t>Average of Quality Score %</t>
  </si>
  <si>
    <t>Sum of Completed Tasks</t>
  </si>
  <si>
    <t>Sum of Pending Tasks</t>
  </si>
  <si>
    <t>Count of Emp ID</t>
  </si>
  <si>
    <t>Attandance Status</t>
  </si>
  <si>
    <t>State</t>
  </si>
  <si>
    <t>Value</t>
  </si>
  <si>
    <t>Total Employee %</t>
  </si>
  <si>
    <t>Avg Productivity %</t>
  </si>
  <si>
    <t>Avg Achievements %</t>
  </si>
  <si>
    <t>Total competed Task</t>
  </si>
  <si>
    <t>Avg Quality Score %</t>
  </si>
  <si>
    <t xml:space="preserve">KPI </t>
  </si>
  <si>
    <t>EMP180</t>
  </si>
  <si>
    <t>stephen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</si>
</sst>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Aptos Narrow"/>
      <family val="2"/>
      <scheme val="minor"/>
    </font>
    <font>
      <b/>
      <sz val="11"/>
      <color rgb="FFFFFFFF"/>
      <name val="Calibri"/>
    </font>
    <font>
      <sz val="11"/>
      <color rgb="FF000000"/>
      <name val="Calibri"/>
      <family val="2"/>
    </font>
    <font>
      <b/>
      <sz val="11"/>
      <color rgb="FFFFFFFF"/>
      <name val="Calibri"/>
      <family val="2"/>
    </font>
    <font>
      <sz val="11"/>
      <color theme="1"/>
      <name val="Aptos Narrow"/>
      <family val="2"/>
      <scheme val="minor"/>
    </font>
    <font>
      <sz val="20"/>
      <color theme="1"/>
      <name val="Copperplate Gothic Bold"/>
      <family val="2"/>
    </font>
    <font>
      <sz val="8"/>
      <name val="Aptos Narrow"/>
      <family val="2"/>
      <scheme val="minor"/>
    </font>
  </fonts>
  <fills count="3">
    <fill>
      <patternFill patternType="none"/>
    </fill>
    <fill>
      <patternFill patternType="gray125"/>
    </fill>
    <fill>
      <patternFill patternType="solid">
        <fgColor rgb="FF1F4E78"/>
        <bgColor rgb="FF000000"/>
      </patternFill>
    </fill>
  </fills>
  <borders count="3">
    <border>
      <left/>
      <right/>
      <top/>
      <bottom/>
      <diagonal/>
    </border>
    <border>
      <left/>
      <right/>
      <top/>
      <bottom style="thin">
        <color rgb="FFD9E2F3"/>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20">
    <xf numFmtId="0" fontId="0" fillId="0" borderId="0" xfId="0"/>
    <xf numFmtId="15" fontId="2" fillId="0" borderId="1" xfId="0" applyNumberFormat="1" applyFont="1" applyBorder="1"/>
    <xf numFmtId="10" fontId="2" fillId="0" borderId="1" xfId="0" applyNumberFormat="1" applyFont="1" applyBorder="1"/>
    <xf numFmtId="15" fontId="2" fillId="0" borderId="0" xfId="0" applyNumberFormat="1" applyFont="1" applyBorder="1"/>
    <xf numFmtId="10" fontId="2" fillId="0" borderId="0" xfId="0" applyNumberFormat="1" applyFont="1" applyBorder="1"/>
    <xf numFmtId="0" fontId="1" fillId="2" borderId="0" xfId="0" applyFont="1" applyFill="1" applyBorder="1" applyAlignment="1">
      <alignment horizontal="left" vertical="center" wrapText="1"/>
    </xf>
    <xf numFmtId="0" fontId="2" fillId="0" borderId="0" xfId="0" applyFont="1" applyFill="1" applyBorder="1"/>
    <xf numFmtId="0" fontId="2" fillId="0" borderId="1" xfId="0" applyFont="1" applyBorder="1"/>
    <xf numFmtId="0" fontId="2" fillId="0" borderId="0" xfId="0" applyFont="1" applyBorder="1"/>
    <xf numFmtId="0" fontId="3" fillId="2" borderId="0" xfId="0" applyFont="1" applyFill="1" applyBorder="1" applyAlignment="1">
      <alignment horizontal="left" vertical="center" wrapText="1"/>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applyBorder="1"/>
    <xf numFmtId="0" fontId="0" fillId="0" borderId="2" xfId="0" applyBorder="1"/>
    <xf numFmtId="0" fontId="0" fillId="0" borderId="2" xfId="0" applyBorder="1" applyAlignment="1">
      <alignment horizontal="center"/>
    </xf>
    <xf numFmtId="164" fontId="0" fillId="0" borderId="2" xfId="1" applyNumberFormat="1" applyFont="1" applyBorder="1"/>
    <xf numFmtId="0" fontId="5" fillId="0" borderId="0" xfId="0" applyFont="1"/>
    <xf numFmtId="0" fontId="2" fillId="0" borderId="0" xfId="0" applyFont="1"/>
  </cellXfs>
  <cellStyles count="2">
    <cellStyle name="Normal" xfId="0" builtinId="0"/>
    <cellStyle name="Percent" xfId="1" builtinId="5"/>
  </cellStyles>
  <dxfs count="6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4" formatCode="0.00%"/>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4" formatCode="0.00%"/>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4" formatCode="0.00%"/>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20" formatCode="dd/mmm/yy"/>
      <border diagonalUp="0" diagonalDown="0">
        <left/>
        <right/>
        <top/>
        <bottom style="thin">
          <color rgb="FFD9E2F3"/>
        </bottom>
        <vertical/>
        <horizontal/>
      </border>
    </dxf>
    <dxf>
      <border outline="0">
        <top style="thin">
          <color indexed="64"/>
        </top>
        <bottom style="thin">
          <color rgb="FFD9E2F3"/>
        </bottom>
      </border>
    </dxf>
    <dxf>
      <font>
        <b val="0"/>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rgb="FFFFFFFF"/>
        <name val="Calibri"/>
        <scheme val="none"/>
      </font>
      <fill>
        <patternFill patternType="solid">
          <fgColor rgb="FF000000"/>
          <bgColor rgb="FF1F4E78"/>
        </patternFill>
      </fill>
      <alignment horizontal="left" vertical="center" textRotation="0" wrapText="1" indent="0" justifyLastLine="0" shrinkToFit="0" readingOrder="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[Employee_Performance_Dashboard.xlsx]Pivot Table!PivotTable5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opperplate Gothic Bold" panose="020E0705020206020404" pitchFamily="34" charset="0"/>
                <a:ea typeface="+mn-ea"/>
                <a:cs typeface="+mn-cs"/>
              </a:defRPr>
            </a:pPr>
            <a:r>
              <a:rPr lang="en-US" b="1">
                <a:latin typeface="Copperplate Gothic Bold" panose="020E0705020206020404" pitchFamily="34" charset="0"/>
              </a:rPr>
              <a:t>AVG ACHIEVEMENT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opperplate Gothic Bold" panose="020E07050202060204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Table'!$J$4:$J$9</c:f>
              <c:strCache>
                <c:ptCount val="5"/>
                <c:pt idx="0">
                  <c:v> Johnson</c:v>
                </c:pt>
                <c:pt idx="1">
                  <c:v> Williaams</c:v>
                </c:pt>
                <c:pt idx="2">
                  <c:v>aamaandaa aandrrson</c:v>
                </c:pt>
                <c:pt idx="3">
                  <c:v>Maatthrw </c:v>
                </c:pt>
                <c:pt idx="4">
                  <c:v>stephen</c:v>
                </c:pt>
              </c:strCache>
            </c:strRef>
          </c:cat>
          <c:val>
            <c:numRef>
              <c:f>'Pivot Table'!$K$4:$K$9</c:f>
              <c:numCache>
                <c:formatCode>0.00%</c:formatCode>
                <c:ptCount val="5"/>
                <c:pt idx="0">
                  <c:v>1</c:v>
                </c:pt>
                <c:pt idx="1">
                  <c:v>1</c:v>
                </c:pt>
                <c:pt idx="2">
                  <c:v>0.99933333333333341</c:v>
                </c:pt>
                <c:pt idx="3">
                  <c:v>1</c:v>
                </c:pt>
                <c:pt idx="4">
                  <c:v>1</c:v>
                </c:pt>
              </c:numCache>
            </c:numRef>
          </c:val>
          <c:extLst>
            <c:ext xmlns:c16="http://schemas.microsoft.com/office/drawing/2014/chart" uri="{C3380CC4-5D6E-409C-BE32-E72D297353CC}">
              <c16:uniqueId val="{00000000-0EDB-4BC9-A49A-8F9071E74078}"/>
            </c:ext>
          </c:extLst>
        </c:ser>
        <c:dLbls>
          <c:dLblPos val="outEnd"/>
          <c:showLegendKey val="0"/>
          <c:showVal val="1"/>
          <c:showCatName val="0"/>
          <c:showSerName val="0"/>
          <c:showPercent val="0"/>
          <c:showBubbleSize val="0"/>
        </c:dLbls>
        <c:gapWidth val="219"/>
        <c:overlap val="-27"/>
        <c:axId val="1006627759"/>
        <c:axId val="1006621999"/>
      </c:barChart>
      <c:catAx>
        <c:axId val="100662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6621999"/>
        <c:crosses val="autoZero"/>
        <c:auto val="1"/>
        <c:lblAlgn val="ctr"/>
        <c:lblOffset val="100"/>
        <c:noMultiLvlLbl val="0"/>
      </c:catAx>
      <c:valAx>
        <c:axId val="10066219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662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[Employee_Performance_Dashboard.xlsx]Pivot Table!PivotTable3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75000"/>
                    <a:lumOff val="25000"/>
                  </a:schemeClr>
                </a:solidFill>
                <a:latin typeface="Copperplate Gothic Bold" panose="020E0705020206020404" pitchFamily="34" charset="0"/>
                <a:ea typeface="+mn-ea"/>
                <a:cs typeface="+mn-cs"/>
              </a:defRPr>
            </a:pPr>
            <a:r>
              <a:rPr lang="en-US" b="1">
                <a:solidFill>
                  <a:schemeClr val="tx1">
                    <a:lumMod val="75000"/>
                    <a:lumOff val="25000"/>
                  </a:schemeClr>
                </a:solidFill>
                <a:latin typeface="Copperplate Gothic Bold" panose="020E0705020206020404" pitchFamily="34" charset="0"/>
              </a:rPr>
              <a:t>AVG PRODUCTIVITY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75000"/>
                  <a:lumOff val="25000"/>
                </a:schemeClr>
              </a:solidFill>
              <a:latin typeface="Copperplate Gothic Bold" panose="020E07050202060204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5C-47AC-806D-11D33C09F8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5C-47AC-806D-11D33C09F8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5C-47AC-806D-11D33C09F8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5C-47AC-806D-11D33C09F89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85C-47AC-806D-11D33C09F89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85C-47AC-806D-11D33C09F8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Table'!$D$4:$D$10</c:f>
              <c:strCache>
                <c:ptCount val="6"/>
                <c:pt idx="0">
                  <c:v>Finance</c:v>
                </c:pt>
                <c:pt idx="1">
                  <c:v>HR</c:v>
                </c:pt>
                <c:pt idx="2">
                  <c:v>IT</c:v>
                </c:pt>
                <c:pt idx="3">
                  <c:v>Marketing</c:v>
                </c:pt>
                <c:pt idx="4">
                  <c:v>Operations</c:v>
                </c:pt>
                <c:pt idx="5">
                  <c:v>Sales</c:v>
                </c:pt>
              </c:strCache>
            </c:strRef>
          </c:cat>
          <c:val>
            <c:numRef>
              <c:f>'Pivot Table'!$E$4:$E$10</c:f>
              <c:numCache>
                <c:formatCode>0.00%</c:formatCode>
                <c:ptCount val="6"/>
                <c:pt idx="0">
                  <c:v>0.9320689655172415</c:v>
                </c:pt>
                <c:pt idx="1">
                  <c:v>0.9069655172413793</c:v>
                </c:pt>
                <c:pt idx="2">
                  <c:v>0.91756000000000015</c:v>
                </c:pt>
                <c:pt idx="3">
                  <c:v>0.8638421052631583</c:v>
                </c:pt>
                <c:pt idx="4">
                  <c:v>0.92071999999999987</c:v>
                </c:pt>
                <c:pt idx="5">
                  <c:v>0.93914705882352933</c:v>
                </c:pt>
              </c:numCache>
            </c:numRef>
          </c:val>
          <c:extLst>
            <c:ext xmlns:c16="http://schemas.microsoft.com/office/drawing/2014/chart" uri="{C3380CC4-5D6E-409C-BE32-E72D297353CC}">
              <c16:uniqueId val="{0000000C-A85C-47AC-806D-11D33C09F890}"/>
            </c:ext>
          </c:extLst>
        </c:ser>
        <c:dLbls>
          <c:dLblPos val="outEnd"/>
          <c:showLegendKey val="0"/>
          <c:showVal val="1"/>
          <c:showCatName val="0"/>
          <c:showSerName val="0"/>
          <c:showPercent val="0"/>
          <c:showBubbleSize val="0"/>
          <c:showLeaderLines val="1"/>
        </c:dLbls>
        <c:firstSliceAng val="1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[Employee_Performance_Dashboard.xlsx]Pivot Table!PivotTable6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75000"/>
                    <a:lumOff val="25000"/>
                  </a:schemeClr>
                </a:solidFill>
                <a:latin typeface="Copperplate Gothic Bold" panose="020E0705020206020404" pitchFamily="34" charset="0"/>
                <a:ea typeface="+mn-ea"/>
                <a:cs typeface="+mn-cs"/>
              </a:defRPr>
            </a:pPr>
            <a:r>
              <a:rPr lang="en-US" b="1">
                <a:solidFill>
                  <a:schemeClr val="tx1">
                    <a:lumMod val="75000"/>
                    <a:lumOff val="25000"/>
                  </a:schemeClr>
                </a:solidFill>
                <a:latin typeface="Copperplate Gothic Bold" panose="020E0705020206020404" pitchFamily="34" charset="0"/>
              </a:rPr>
              <a:t>MONTHLY AVG PRODUCTIVITY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75000"/>
                  <a:lumOff val="25000"/>
                </a:schemeClr>
              </a:solidFill>
              <a:latin typeface="Copperplate Gothic Bold" panose="020E07050202060204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1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dk1">
                <a:tint val="88500"/>
              </a:schemeClr>
            </a:solidFill>
            <a:round/>
          </a:ln>
          <a:effectLst/>
        </c:spPr>
        <c:marker>
          <c:symbol val="circle"/>
          <c:size val="15"/>
          <c:spPr>
            <a:solidFill>
              <a:schemeClr val="dk1">
                <a:tint val="88500"/>
              </a:schemeClr>
            </a:solidFill>
            <a:ln w="9525">
              <a:solidFill>
                <a:schemeClr val="dk1">
                  <a:tint val="88500"/>
                </a:schemeClr>
              </a:solidFill>
            </a:ln>
            <a:effectLst/>
          </c:spPr>
        </c:marker>
        <c:dLbl>
          <c:idx val="0"/>
          <c:layout>
            <c:manualLayout>
              <c:x val="-5.2803713130121256E-2"/>
              <c:y val="4.98084787394188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dk1">
                <a:tint val="88500"/>
              </a:schemeClr>
            </a:solidFill>
            <a:round/>
          </a:ln>
          <a:effectLst/>
        </c:spPr>
        <c:marker>
          <c:symbol val="circle"/>
          <c:size val="15"/>
          <c:spPr>
            <a:solidFill>
              <a:schemeClr val="dk1">
                <a:tint val="88500"/>
              </a:schemeClr>
            </a:solidFill>
            <a:ln w="9525">
              <a:solidFill>
                <a:schemeClr val="dk1">
                  <a:tint val="88500"/>
                </a:schemeClr>
              </a:solidFill>
            </a:ln>
            <a:effectLst/>
          </c:spPr>
        </c:marker>
      </c:pivotFmt>
    </c:pivotFmts>
    <c:plotArea>
      <c:layout>
        <c:manualLayout>
          <c:layoutTarget val="inner"/>
          <c:xMode val="edge"/>
          <c:yMode val="edge"/>
          <c:x val="0.1111790920860402"/>
          <c:y val="0.13361210955657193"/>
          <c:w val="0.87729238353058603"/>
          <c:h val="0.77957281121633726"/>
        </c:manualLayout>
      </c:layout>
      <c:lineChart>
        <c:grouping val="standard"/>
        <c:varyColors val="0"/>
        <c:ser>
          <c:idx val="0"/>
          <c:order val="0"/>
          <c:tx>
            <c:strRef>
              <c:f>'Pivot Table'!$B$14</c:f>
              <c:strCache>
                <c:ptCount val="1"/>
                <c:pt idx="0">
                  <c:v>Total</c:v>
                </c:pt>
              </c:strCache>
            </c:strRef>
          </c:tx>
          <c:spPr>
            <a:ln w="28575" cap="rnd">
              <a:solidFill>
                <a:schemeClr val="dk1">
                  <a:tint val="88500"/>
                </a:schemeClr>
              </a:solidFill>
              <a:round/>
            </a:ln>
            <a:effectLst/>
          </c:spPr>
          <c:marker>
            <c:symbol val="circle"/>
            <c:size val="15"/>
            <c:spPr>
              <a:solidFill>
                <a:schemeClr val="dk1">
                  <a:tint val="88500"/>
                </a:schemeClr>
              </a:solidFill>
              <a:ln w="9525">
                <a:solidFill>
                  <a:schemeClr val="dk1">
                    <a:tint val="88500"/>
                  </a:schemeClr>
                </a:solidFill>
              </a:ln>
              <a:effectLst/>
            </c:spPr>
          </c:marker>
          <c:dPt>
            <c:idx val="2"/>
            <c:marker>
              <c:symbol val="circle"/>
              <c:size val="15"/>
              <c:spPr>
                <a:solidFill>
                  <a:schemeClr val="dk1">
                    <a:tint val="88500"/>
                  </a:schemeClr>
                </a:solidFill>
                <a:ln w="9525">
                  <a:solidFill>
                    <a:schemeClr val="dk1">
                      <a:tint val="88500"/>
                    </a:schemeClr>
                  </a:solidFill>
                </a:ln>
                <a:effectLst/>
              </c:spPr>
            </c:marker>
            <c:bubble3D val="0"/>
            <c:extLst>
              <c:ext xmlns:c16="http://schemas.microsoft.com/office/drawing/2014/chart" uri="{C3380CC4-5D6E-409C-BE32-E72D297353CC}">
                <c16:uniqueId val="{00000001-11EE-4702-8F08-E11A33635AD6}"/>
              </c:ext>
            </c:extLst>
          </c:dPt>
          <c:dPt>
            <c:idx val="3"/>
            <c:marker>
              <c:symbol val="circle"/>
              <c:size val="15"/>
              <c:spPr>
                <a:solidFill>
                  <a:schemeClr val="dk1">
                    <a:tint val="88500"/>
                  </a:schemeClr>
                </a:solidFill>
                <a:ln w="9525">
                  <a:solidFill>
                    <a:schemeClr val="dk1">
                      <a:tint val="88500"/>
                    </a:schemeClr>
                  </a:solidFill>
                </a:ln>
                <a:effectLst/>
              </c:spPr>
            </c:marker>
            <c:bubble3D val="0"/>
            <c:extLst>
              <c:ext xmlns:c16="http://schemas.microsoft.com/office/drawing/2014/chart" uri="{C3380CC4-5D6E-409C-BE32-E72D297353CC}">
                <c16:uniqueId val="{00000002-11EE-4702-8F08-E11A33635AD6}"/>
              </c:ext>
            </c:extLst>
          </c:dPt>
          <c:dLbls>
            <c:dLbl>
              <c:idx val="2"/>
              <c:layout>
                <c:manualLayout>
                  <c:x val="-5.2803713130121256E-2"/>
                  <c:y val="4.98084787394188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EE-4702-8F08-E11A33635A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Table'!$B$15:$B$27</c:f>
              <c:numCache>
                <c:formatCode>0.00%</c:formatCode>
                <c:ptCount val="12"/>
                <c:pt idx="0">
                  <c:v>0.96260000000000001</c:v>
                </c:pt>
                <c:pt idx="1">
                  <c:v>0.94374999999999998</c:v>
                </c:pt>
                <c:pt idx="2">
                  <c:v>0.85171428571428598</c:v>
                </c:pt>
                <c:pt idx="3">
                  <c:v>0.93092307692307696</c:v>
                </c:pt>
                <c:pt idx="4">
                  <c:v>0.91907142857142865</c:v>
                </c:pt>
                <c:pt idx="5">
                  <c:v>0.91184615384615375</c:v>
                </c:pt>
                <c:pt idx="6">
                  <c:v>0.90537500000000004</c:v>
                </c:pt>
                <c:pt idx="7">
                  <c:v>0.90305000000000013</c:v>
                </c:pt>
                <c:pt idx="8">
                  <c:v>0.91292307692307695</c:v>
                </c:pt>
                <c:pt idx="9">
                  <c:v>0.91884210526315802</c:v>
                </c:pt>
                <c:pt idx="10">
                  <c:v>0.87650000000000006</c:v>
                </c:pt>
                <c:pt idx="11">
                  <c:v>0.90786956521739126</c:v>
                </c:pt>
              </c:numCache>
            </c:numRef>
          </c:val>
          <c:smooth val="0"/>
          <c:extLst>
            <c:ext xmlns:c16="http://schemas.microsoft.com/office/drawing/2014/chart" uri="{C3380CC4-5D6E-409C-BE32-E72D297353CC}">
              <c16:uniqueId val="{00000000-11EE-4702-8F08-E11A33635AD6}"/>
            </c:ext>
          </c:extLst>
        </c:ser>
        <c:dLbls>
          <c:dLblPos val="t"/>
          <c:showLegendKey val="0"/>
          <c:showVal val="1"/>
          <c:showCatName val="0"/>
          <c:showSerName val="0"/>
          <c:showPercent val="0"/>
          <c:showBubbleSize val="0"/>
        </c:dLbls>
        <c:marker val="1"/>
        <c:smooth val="0"/>
        <c:axId val="1009721919"/>
        <c:axId val="1009719039"/>
      </c:lineChart>
      <c:catAx>
        <c:axId val="100972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009719039"/>
        <c:crosses val="autoZero"/>
        <c:auto val="1"/>
        <c:lblAlgn val="ctr"/>
        <c:lblOffset val="100"/>
        <c:noMultiLvlLbl val="0"/>
      </c:catAx>
      <c:valAx>
        <c:axId val="10097190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009721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[Employee_Performance_Dashboard.xlsx]Pivot Table!PivotTable7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opperplate Gothic Bold" panose="020E0705020206020404" pitchFamily="34" charset="0"/>
                <a:ea typeface="+mn-ea"/>
                <a:cs typeface="+mn-cs"/>
              </a:defRPr>
            </a:pPr>
            <a:r>
              <a:rPr lang="en-IN" b="1">
                <a:latin typeface="Copperplate Gothic Bold" panose="020E0705020206020404" pitchFamily="34" charset="0"/>
              </a:rPr>
              <a:t>TASK COMPLETION BY MONTH</a:t>
            </a:r>
          </a:p>
        </c:rich>
      </c:tx>
      <c:layout>
        <c:manualLayout>
          <c:xMode val="edge"/>
          <c:yMode val="edge"/>
          <c:x val="4.8378581524445227E-2"/>
          <c:y val="3.6108948088766885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144000" tIns="19050" rIns="72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7.649860296364111E-2"/>
          <c:y val="0.17603112193273854"/>
          <c:w val="0.8570105007659119"/>
          <c:h val="0.69705374440195789"/>
        </c:manualLayout>
      </c:layout>
      <c:barChart>
        <c:barDir val="col"/>
        <c:grouping val="clustered"/>
        <c:varyColors val="0"/>
        <c:ser>
          <c:idx val="0"/>
          <c:order val="0"/>
          <c:tx>
            <c:strRef>
              <c:f>'Pivot Table'!$E$14</c:f>
              <c:strCache>
                <c:ptCount val="1"/>
                <c:pt idx="0">
                  <c:v>Sum of Completed Tasks</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Table'!$E$15:$E$27</c:f>
              <c:numCache>
                <c:formatCode>General</c:formatCode>
                <c:ptCount val="12"/>
                <c:pt idx="0">
                  <c:v>209</c:v>
                </c:pt>
                <c:pt idx="1">
                  <c:v>173</c:v>
                </c:pt>
                <c:pt idx="2">
                  <c:v>175</c:v>
                </c:pt>
                <c:pt idx="3">
                  <c:v>154</c:v>
                </c:pt>
                <c:pt idx="4">
                  <c:v>179</c:v>
                </c:pt>
                <c:pt idx="5">
                  <c:v>178</c:v>
                </c:pt>
                <c:pt idx="6">
                  <c:v>109</c:v>
                </c:pt>
                <c:pt idx="7">
                  <c:v>249</c:v>
                </c:pt>
                <c:pt idx="8">
                  <c:v>154</c:v>
                </c:pt>
                <c:pt idx="9">
                  <c:v>267</c:v>
                </c:pt>
                <c:pt idx="10">
                  <c:v>210</c:v>
                </c:pt>
                <c:pt idx="11">
                  <c:v>286</c:v>
                </c:pt>
              </c:numCache>
            </c:numRef>
          </c:val>
          <c:extLst>
            <c:ext xmlns:c16="http://schemas.microsoft.com/office/drawing/2014/chart" uri="{C3380CC4-5D6E-409C-BE32-E72D297353CC}">
              <c16:uniqueId val="{00000000-FA60-4468-B710-74498F83E527}"/>
            </c:ext>
          </c:extLst>
        </c:ser>
        <c:ser>
          <c:idx val="1"/>
          <c:order val="1"/>
          <c:tx>
            <c:strRef>
              <c:f>'Pivot Table'!$F$14</c:f>
              <c:strCache>
                <c:ptCount val="1"/>
                <c:pt idx="0">
                  <c:v>Sum of Pending Tasks</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144000" tIns="19050" rIns="72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Table'!$D$15:$D$27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Table'!$F$15:$F$27</c:f>
              <c:numCache>
                <c:formatCode>General</c:formatCode>
                <c:ptCount val="12"/>
                <c:pt idx="0">
                  <c:v>133</c:v>
                </c:pt>
                <c:pt idx="1">
                  <c:v>79</c:v>
                </c:pt>
                <c:pt idx="2">
                  <c:v>69</c:v>
                </c:pt>
                <c:pt idx="3">
                  <c:v>80</c:v>
                </c:pt>
                <c:pt idx="4">
                  <c:v>62</c:v>
                </c:pt>
                <c:pt idx="5">
                  <c:v>65</c:v>
                </c:pt>
                <c:pt idx="6">
                  <c:v>40</c:v>
                </c:pt>
                <c:pt idx="7">
                  <c:v>88</c:v>
                </c:pt>
                <c:pt idx="8">
                  <c:v>62</c:v>
                </c:pt>
                <c:pt idx="9">
                  <c:v>101</c:v>
                </c:pt>
                <c:pt idx="10">
                  <c:v>68</c:v>
                </c:pt>
                <c:pt idx="11">
                  <c:v>91</c:v>
                </c:pt>
              </c:numCache>
            </c:numRef>
          </c:val>
          <c:extLst>
            <c:ext xmlns:c16="http://schemas.microsoft.com/office/drawing/2014/chart" uri="{C3380CC4-5D6E-409C-BE32-E72D297353CC}">
              <c16:uniqueId val="{00000001-FA60-4468-B710-74498F83E527}"/>
            </c:ext>
          </c:extLst>
        </c:ser>
        <c:dLbls>
          <c:dLblPos val="outEnd"/>
          <c:showLegendKey val="0"/>
          <c:showVal val="1"/>
          <c:showCatName val="0"/>
          <c:showSerName val="0"/>
          <c:showPercent val="0"/>
          <c:showBubbleSize val="0"/>
        </c:dLbls>
        <c:gapWidth val="219"/>
        <c:overlap val="-27"/>
        <c:axId val="1344214799"/>
        <c:axId val="1344191759"/>
      </c:barChart>
      <c:catAx>
        <c:axId val="1344214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344191759"/>
        <c:crosses val="autoZero"/>
        <c:auto val="1"/>
        <c:lblAlgn val="ctr"/>
        <c:lblOffset val="100"/>
        <c:noMultiLvlLbl val="0"/>
      </c:catAx>
      <c:valAx>
        <c:axId val="13441917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344214799"/>
        <c:crosses val="autoZero"/>
        <c:crossBetween val="between"/>
      </c:valAx>
      <c:spPr>
        <a:noFill/>
        <a:ln>
          <a:noFill/>
        </a:ln>
        <a:effectLst/>
      </c:spPr>
    </c:plotArea>
    <c:legend>
      <c:legendPos val="r"/>
      <c:layout>
        <c:manualLayout>
          <c:xMode val="edge"/>
          <c:yMode val="edge"/>
          <c:x val="0.71063872523471583"/>
          <c:y val="3.1147166353852781E-2"/>
          <c:w val="0.28130571891607314"/>
          <c:h val="0.152335690958582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[Employee_Performance_Dashboard.xlsx]Pivot Table!PivotTable5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pperplate Gothic Bold" panose="020E0705020206020404" pitchFamily="34" charset="0"/>
                <a:ea typeface="+mn-ea"/>
                <a:cs typeface="+mn-cs"/>
              </a:defRPr>
            </a:pPr>
            <a:r>
              <a:rPr lang="en-US" b="1">
                <a:solidFill>
                  <a:schemeClr val="tx1">
                    <a:lumMod val="75000"/>
                    <a:lumOff val="25000"/>
                  </a:schemeClr>
                </a:solidFill>
                <a:latin typeface="Copperplate Gothic Bold" panose="020E0705020206020404" pitchFamily="34" charset="0"/>
              </a:rPr>
              <a:t>TOP 5 EMPLOYEE</a:t>
            </a:r>
            <a:r>
              <a:rPr lang="en-US" b="1" baseline="0">
                <a:solidFill>
                  <a:schemeClr val="tx1">
                    <a:lumMod val="75000"/>
                    <a:lumOff val="25000"/>
                  </a:schemeClr>
                </a:solidFill>
                <a:latin typeface="Copperplate Gothic Bold" panose="020E0705020206020404" pitchFamily="34" charset="0"/>
              </a:rPr>
              <a:t> ACHIEVEMENT</a:t>
            </a:r>
            <a:endParaRPr lang="en-US" b="1">
              <a:solidFill>
                <a:schemeClr val="tx1">
                  <a:lumMod val="75000"/>
                  <a:lumOff val="25000"/>
                </a:schemeClr>
              </a:solidFill>
              <a:latin typeface="Copperplate Gothic Bold" panose="020E0705020206020404"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solidFill>
              <a:schemeClr val="bg1">
                <a:lumMod val="95000"/>
              </a:schemeClr>
            </a:solidFill>
            <a:ln>
              <a:solidFill>
                <a:schemeClr val="accent1"/>
              </a:solidFill>
            </a:ln>
            <a:effectLst/>
          </c:spPr>
          <c:txPr>
            <a:bodyPr rot="0" spcFirstLastPara="1" vertOverflow="ellipsis" vert="horz" wrap="square" lIns="36000" tIns="19050" rIns="36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'Pivot Table'!$K$3</c:f>
              <c:strCache>
                <c:ptCount val="1"/>
                <c:pt idx="0">
                  <c:v>Total</c:v>
                </c:pt>
              </c:strCache>
            </c:strRef>
          </c:tx>
          <c:spPr>
            <a:solidFill>
              <a:schemeClr val="tx1">
                <a:lumMod val="75000"/>
                <a:lumOff val="25000"/>
              </a:schemeClr>
            </a:solidFill>
            <a:ln>
              <a:noFill/>
            </a:ln>
            <a:effectLst/>
          </c:spPr>
          <c:invertIfNegative val="0"/>
          <c:dLbls>
            <c:spPr>
              <a:solidFill>
                <a:schemeClr val="bg1">
                  <a:lumMod val="95000"/>
                </a:schemeClr>
              </a:solidFill>
              <a:ln>
                <a:solidFill>
                  <a:schemeClr val="accent1"/>
                </a:solidFill>
              </a:ln>
              <a:effectLst/>
            </c:spPr>
            <c:txPr>
              <a:bodyPr rot="0" spcFirstLastPara="1" vertOverflow="ellipsis" vert="horz" wrap="square" lIns="36000" tIns="19050" rIns="36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Table'!$J$4:$J$9</c:f>
              <c:strCache>
                <c:ptCount val="5"/>
                <c:pt idx="0">
                  <c:v> Johnson</c:v>
                </c:pt>
                <c:pt idx="1">
                  <c:v> Williaams</c:v>
                </c:pt>
                <c:pt idx="2">
                  <c:v>aamaandaa aandrrson</c:v>
                </c:pt>
                <c:pt idx="3">
                  <c:v>Maatthrw </c:v>
                </c:pt>
                <c:pt idx="4">
                  <c:v>stephen</c:v>
                </c:pt>
              </c:strCache>
            </c:strRef>
          </c:cat>
          <c:val>
            <c:numRef>
              <c:f>'Pivot Table'!$K$4:$K$9</c:f>
              <c:numCache>
                <c:formatCode>0.00%</c:formatCode>
                <c:ptCount val="5"/>
                <c:pt idx="0">
                  <c:v>1</c:v>
                </c:pt>
                <c:pt idx="1">
                  <c:v>1</c:v>
                </c:pt>
                <c:pt idx="2">
                  <c:v>0.99933333333333341</c:v>
                </c:pt>
                <c:pt idx="3">
                  <c:v>1</c:v>
                </c:pt>
                <c:pt idx="4">
                  <c:v>1</c:v>
                </c:pt>
              </c:numCache>
            </c:numRef>
          </c:val>
          <c:extLst>
            <c:ext xmlns:c16="http://schemas.microsoft.com/office/drawing/2014/chart" uri="{C3380CC4-5D6E-409C-BE32-E72D297353CC}">
              <c16:uniqueId val="{00000000-329A-4BE4-995D-2BAFA1AFE674}"/>
            </c:ext>
          </c:extLst>
        </c:ser>
        <c:dLbls>
          <c:showLegendKey val="0"/>
          <c:showVal val="1"/>
          <c:showCatName val="0"/>
          <c:showSerName val="0"/>
          <c:showPercent val="0"/>
          <c:showBubbleSize val="0"/>
        </c:dLbls>
        <c:gapWidth val="150"/>
        <c:axId val="1306017375"/>
        <c:axId val="1306027455"/>
      </c:barChart>
      <c:catAx>
        <c:axId val="13060173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306027455"/>
        <c:crosses val="autoZero"/>
        <c:auto val="1"/>
        <c:lblAlgn val="ctr"/>
        <c:lblOffset val="100"/>
        <c:noMultiLvlLbl val="0"/>
      </c:catAx>
      <c:valAx>
        <c:axId val="130602745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30601737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ACHIEVEMENTS </cx:v>
        </cx:txData>
      </cx:tx>
      <cx:txPr>
        <a:bodyPr spcFirstLastPara="1" vertOverflow="ellipsis" horzOverflow="overflow" wrap="square" lIns="0" tIns="0" rIns="0" bIns="0" anchor="ctr" anchorCtr="1"/>
        <a:lstStyle/>
        <a:p>
          <a:pPr algn="ctr" rtl="0">
            <a:defRPr/>
          </a:pPr>
          <a:r>
            <a:rPr lang="en-US" sz="2000" b="1" i="0" u="none" strike="noStrike" baseline="0">
              <a:solidFill>
                <a:schemeClr val="tx1">
                  <a:lumMod val="75000"/>
                  <a:lumOff val="25000"/>
                </a:schemeClr>
              </a:solidFill>
              <a:latin typeface="Copperplate Gothic Bold" panose="020E0705020206020404" pitchFamily="34" charset="0"/>
            </a:rPr>
            <a:t>STATE ACHIEVEMENTS </a:t>
          </a:r>
        </a:p>
      </cx:txPr>
    </cx:title>
    <cx:plotArea>
      <cx:plotAreaRegion>
        <cx:series layoutId="regionMap" uniqueId="{1DBAA02B-1978-4139-BDFF-EA7C4C34D5E5}">
          <cx:tx>
            <cx:txData>
              <cx:f>_xlchart.v5.2</cx:f>
              <cx:v>Average of Quality Score %</cx:v>
            </cx:txData>
          </cx:tx>
          <cx:dataId val="0"/>
          <cx:layoutPr>
            <cx:geography cultureLanguage="en-US" cultureRegion="IN" attribution="Powered by Bing">
              <cx:geoCache provider="{E9337A44-BEBE-4D9F-B70C-5C5E7DAFC167}">
                <cx:binary>1Htpj9RYtu1fKfH5mTrz0Opq6dmOiIzIiYRk/GIlSeLZxz6Dp19/d0AVTQZ00n3f1ZMuQkCkw2fY
81p78/f7+W/3zcOd/W1um8797X7+41nhff+3339398VDe+eet+W9Nc589s/vTfu7+fy5vH/4/ZO9
m8ou/50gzH6/L+6sf5if/ePvsFr+YC7M/Z0vTXcTHuzy8sGFxrsnnv300W93n9qyS0vnbXnv8R/P
krum/GxsV949++2h86Vfbpf+4Y9nj7737LffT1f7YeffGjicD5/gXSqfE86E0FijL7/ws98a0+V/
Po4w1s8FlkRihvWXX3/tfXXXwvv/3pm+nOju0yf74Bxc68vfj999dAd49H+f/XZvQueP0stBkH88
e92V/uHTb6/8nX9wz34rnUm+fiExx4u8fvXl5r8/lv8//n7yA5DFyU++U9Gp4H716AcNbRtjy0//
g+oh6jnXnGPxp/C1fqweRZ4zJSkjin5VH32snn/jQD/XzbcXTxSzvfhfqZjbh/kOjOZ/zGvwcyao
Ygrjn3qN1s8ppURLSb46jfpr769e88vj/Fwpf752opLbd/8rVXL1MP323tj6L8n8v8cyRp5rqgkD
yX9zhu9jmeTPBTzhArOvWhF/7f1VK//OiX6umH++eaKbq/f/K3TzdKj93mseffM/zTX6OUeUS0bl
T/UDXoOwooLqP/XDHuvnJAP862P9XEknrz+6yf+n9PKvU8+3HJ3e+bvNl+T+XfZ5+umX60LRcfLq
U9Huq+z2n/54hjXkju8UeVzkzze/esWFCaUr77pvWe27tx7unP/jWaTUc4UFhDoGMVEKLmDB6eHL
I82eIyYV4lIJTInC8Kgz1hdQetDniCiCtFCCSA3R8tlvzoTjI0h7SjOFtCQE6hKq8bfK6oVpltx0
3yTy5+ffutC+MGXnHSwMdtN//drxrBxjDBmSMswlx0xycnx+f/cSqjf4Nv4/5WKnYEps97zLpEqr
KsIvUTGsl2os+60ZKuVj3kv00UUyu5WFtvul7bJDZMvs4CwZE9lIfGGQ6HY1W8eEjLhpY6Xq6Fb1
rUtl0fNyY5DXCS6q+Rp3UXioLMEXc5E3bxgZ/KZvVZnkRZtdGsSKOe2IHFM7UJvgHNlp59toPTND
K16FLsxX36nsJyKAyHYiAcYEYRzEADKl/Pj8OwlUi7KjGft+P1s8vxCZ07t8CToh3h/vBed+ej/+
k/00RZQxJJTECPLf9/uRCKM5r+t+P0WWxnPefMzXaUzKDGTw9E5gJKc3k5RgqbDiGhN6crM1CLy6
QjT7KRtcSqpqifXCo52iWflqJA3bLUWVvXx6059cTzItERZgTApSyuPrVYi4qe1csw+iWOo4CraK
HSKSp2Hmdon/8904w0IxrJiQ6kSYuVYARNqq2WM08fqys+26nYXF03Vo9O3Te2H0ozy1BG+FqhJp
htnJZnOdN0Vbo3I/FHNDE1pkrkmHoTWpsniNi6WYr4MN+GJy9Xi2NtL3m9IJ9x/fmSOkpGRIQhUF
QeWxhBvs5NIGWu2HULdFOrvFpSLPslsteoN+sdmPNsQRxpwQxZVijBxl8p132EE31FtR7Xu8rjdG
WZf6CDy4L/q62C+u5FUqO12rX+z7oxlxJAVALAwATAp0EpfqvJrKXPTVvpuGsY9H0OZEwzTFXRmq
/2wvpjmsrzXUq6BejNjJXqyMJjwWutyXeMjTYV5kHffILuf5MtHXTxvRca3v4u2XvTgmIEolEQP0
8lieVetFZCOwoXVZJ5yaTLaHpqQjTp/eB8DPj/tQobSAIAPmSh7vE0TjrDBzuc8QH6t0niq4FFs6
Emcj5a+Ksmx9PFtvyni1fZVtUJsXl0+f4cR2jnfFWkGgw0ISgU5tZ1xwXQ7cwxlGl6c9HgcS52uU
X2Z0aQ8mVzx1gi6/iOdfRHgiYgIhSAAKoZBD1Yk6x1yMZs1kuS9URt/aSrQHQdly1VddsbO071zs
IzN38bTMuUyyKSzjfhLd/AmLZrD3/ajbQ5112VmOovaQlRn8sVbRzdPS+dk5OShGawnVgUbixLVq
TrNplVF0hqgUH5clMJuMQ6NBRY2YxFkXVb2MlyqSchOZqb5EI1mamHZZtg+1Yefa62w/l4pe6Ug4
uRVjYarUFFqOu6fP+qPVKgTSRApzqEjE6VGR7rxxzVTuW42WOqlzNddJ55zfPL3PideDxSgEMQaC
G1Hw52luLCMCQolcuTeTWW90uUZl3NWGnzeO8VdP73Uazr9sJqUikB25VlqdyH9Rjjs2VxDOAYql
ucrGFDV9SBpwlW1G+jzp52k5x2GW76O2y3ez4f4XgsWIHz3xsbkqSpFEmkNRAMc5ySqN7SMCnpGd
yTDZZS8bAsHU65n2+zz0601EBfrIi6xMyjK0Nl76osrh37VVsWgRP3f5mB10CMsLP2oSYjdUvU2G
xocyIXW7XjaFyw5FOZCXa0Ozz+McmjdqadbLtbHzFOvBildymOsDaRU/Hy2CgOvaibzkoRavRNGj
M48Vvig6toQU9WV0G8lpvVnyjIa46YrxurXI3zXZgj6uEZRxLuqXNdZzl31uVcT7Q9cO7Rp3Y5+d
rQ4zt61kEYqYSnusEUzNUNwNhN0VOsP3UM/S1xOl/RDP2dhGiZsz9rkZPZvS1s+02DhVFZc5Bc9m
HEILtmP5MRQQvI3L+efcRIokXQtlY9JlSOXJVOo8bFEh2G5iCIqhTs7uk5KBbLpqkO/VMFn10uAK
7A28P6+3tdGwfd/b6EYRB7ETuSDfryzj6Vzr/FIe33XcwDEWTtlmKCc3xbJsoltt6HIJeaZ5MwzL
dP1FvJmY/IZ0Bbrp6VDUB7PKpthnOBf0QFBbXNa5bsNmWIuq3wCpBdEq4OXc+hUilMJz9KEzNVik
QTNGSdPg9SyUPchu4ap0iUWouGVzyd4Gi5ooITnqXtCayC6tGKwzFWVxKXyfp26Q5UeL9NTFmbVL
vtOrbtaYcUgKVU7pa9WNlsQRAdm2lJQfm7wlW2wNu6v4EDUxOE1j46xs1xs+RbNPfG3nF2gc5uty
YWORSobLD43wEJpW3LzBC2LNhh7tsJ1MdlChmvJkKZQv03XGUMDg1qzbbmzAlmTr18t8WposzgB6
LbF343rT8gihZG2hzgmF65ekggu4uK2mNUscGNgGuaK/K6YcnZlZgfXyms0vbFbM5iwUgBgEN9Gt
KGoQGMrZcplHTXWoVbPRa1Sns2XztYmaYesric/yaTWbwWU8WSJjb3JflHukbHc+5RNLyrYpU0Ec
usS0Ww9hQOKMSp7d5l5uDAv13SC6+nKB3ZIs4/K6XeWuLtc+Gbps3qGyou+VArfrWbtDZvFxVAea
omheEwKYL8Gis1s9mzZhtmvqBKRK3uhyvC7zbjlUWG+LYqDbKRTmoMFJ4iIKfVy3k46HFq7V1Mom
RV036TL6EBPHsthz9t5KRy/ztry2s1fxONI5HRfFEkg4dMuH8rXIRLtZXE/OG94kKNQ86X037Wrd
oqRecREXKxKp7tkal7p46Yrlo+7JXR8it6milqaLYF1M1pHsI6TeDcJlXTzSvkmWWUFWCz350FJ2
WKnC8UjKq0KUU1ozcTuO2bnpZP7O92TdFGyZD0XTQgBmxxqpJcuVKCm99KsbbnDZuEM08jpdV3FR
y2FRfczaSjpdH4NI7h4GVPdnCzZViLtszIZ4yWl1wIYZHGdRLi8Cb+BApmEUxeNC1td8ZXQ7T00W
Nn4k+txjPFxDocSKdBIQL2qJmte2X/LXgaDp1WI41A/G9SqP+3FdLmu50k3WCrlltVefqra0+7kR
874YdAubQhV9aXP0UvFpeimnZdnQNYTNMf/weDb9WCRlP7QvnJdrIsHTmj2LGJQCpDZZYheoRWo1
Qy7shEsEkiWEom6Kc5ZBRpC5lmd9BdAngP2lLZR5W70itgvTyPrE9qS9dsi/kc06pHgqxys2rKpK
8saoKvWiZtWWV6Q9j3pXb7uq5i9QmN1WyJC/9VU+ndMwp77MpkM1BeRjoib9gVazy2LeEVcmI8TJ
fadtcaAD1O0xmZQ7W8cWDLOC2gEgQhPdNIuVm3ax7zqj+Ba1fnwfWKc+ezbXSyw6TG5Jy+XbeVr1
ukO8jJIlTHOcmQD1WDcPZ/266qs5GsSNbdySUGP6JPKDPAMErc/0jImPexzsQ0+U2vRTtRwGTy9l
y9ClzuzUJEzjC8Z1ByVMJ3dBNvqmyYasiDOaUQD/VcGAprD4NiojYB98ow+gVP1q5mFNIQk3Pu6i
kd3PK3I30kfAGgydS5UZSKoEmICouj5espzvJhk1W6H8uJlUyV7XizMvcu9o3Ga42mfVQC5BgmVK
2zEZxgzvRs7BsHV3KYA+SLJWkxf50PAzPkh6ofPcxbZf+auMDzht1WR2DVr7bbM6dRc8XAkCzZCM
bippojw0Y+I642pXjB1p4m7CLs5dlr/p0EyvAlLmGq0ZlP2aGhH3Lqq6zVJHhsVlNTa7pu7ke14L
IHHMkJ/PEVcmzTLW7JdILw8e4PiFp1O48SyaVUx7PbokqjvI6UxPNunMyK8Asfe7upUSAAA2hwYv
HrzL95dT1TYvesH9tXLzfEYHV+ik1OqsnVe7n1QXxSPO1LkZ5uyyCp3asXxsP9bdIMWm7vXwluV8
2ApR1Z81b8ss6WVv9lHogEuqGvtGuv5DC0tv7GBYk2i+kiZx2TreoZ5VEwQBF+3zPkAtqzDyyVB0
PGXVGs5xtpQJMtUGNF5u6pbcT5Hu0zL0WR1zTd2my/PlUupgPkrcjYd1rqJUaciBQ0HX3cKXLGWq
9i8wGt3HytYQs4cGsgYEAVvnPhmZHGr+2qPQSXcvoH/FYsS6ufhcRMuQ+NI1BTi27wAm+ejzIIru
cuY9uSonHl5HeTZ+ZLZU7/OgbRd3nY6adEar4pD2lraRbQKMSHcWCbYcCKl0vmnF+HbxuLxCdTuk
kRobHFdDZeJyqnECVVR+tZBFpr4ZgNUgQ7bnppkpnMrPZ6yr0CWbyiZt6glyhiHL0iZNCEJAdWmK
EONqmM9wNvkDtm0fUs+IgXC2rPkrRSuyJDMnYc/1DGkEAzsEdtloiD5ujW7LRqOtrg3oDZLCjqLe
H/q1DPc9YCNAGEWTdlELUrCq/JCRoykDo4QuC9mTLpbEzmcC0ezNwgm9i0gffSYiTBeZWvJb3q1V
gg0sO7NZv8ZdOcYkcPsh61kJ5STSyeDK11AYZxufCRQX9fBS0Dd5vnbxskJ4zZoMjKp9g3iHYqSi
l3Kc67iS3ZogqbZsjURsO78krEZtPENxkkpZFDHubB4rwNhxR5lJ9Fx+rBtSdEkEODkOhTeQKvMz
MkdkG8T04Feqd4DlWTJYorc1VjKpW3EgruUJLkcctzxsVa7zhCsSpTIDc0bVjM8X3u7Ciu/WHhYu
TFA7sgx13LZLs2O+nF8NghQJCSq/rLrxc9QjGg9r28ViHMmhBGJ344DNOpR2ac40AnqAzOMC/mzD
ri88+lh7rGPA+JB1oBA6sGDYxuly2LaTdxfIz9VFjeddLXKo5qHgSgBUi9RP8/UkEI4LNoszboci
Qe2oAJr0aRNUAQnCZC9m7FDsm6rfKu8evI3Mpo/MusOiNHE76A92idqtXXpx7nvgDtYc7avJ3QQa
3ZWCbU1WLFCn6KuudYc2Gt5P7Xod6uzgjXjd2+wSQi4QRk3pz4VdP1dD/gZ6yS8l6XY9VNNJVzV3
GpXTbq2BpJRef8QcuWS1eUh1hPlr05R2gwz5OGsMhVWUQ5AvyL4R1qeaoG0V+vO5kFMccnHfjrqP
SQusdswjQAT5FMLbla7381juRRXIdpBNOSWLXvK3qHf5Glur6gOz/RgvyxKXpqQ7vG7GoXw3j7M7
g37ABR9eIzWG20ENelO48pWkeXEmJ10ndhjDu4hYtZmn0Z+NgGEuQrDRmZ2ro5sv6MBpKd8Jx7pd
2Q5Cpa6Y7L4cBNCjU3WEE1IX885MGEro0tYsXrFYL/zII7st2vklJ0J/QkIu0SHqGyB04lo7hXZk
JBM996p1roqHYpxfNMQe1yNDXd0tQDpPQFzgzO/z1oNFy6nubQysJqt8jKoGb7HLCxPXUA+dSRpk
dOWDl2XqIlMNcaSBNBVuAshZ6zKxgWTvVV5nn10mwAFhV2gx8EwBECEKgFRKlAFYlIPZh9RAeAGe
6djTWEzI3occAEIWDYAxDOHnVbnOVwPkuDdqyJbLiHFAyaWMNn4ZBLqqIl6OG68XgB1BQliaXEWT
Dh/RCS7n8aFayXRdiQVfIFyvW5zb+lDUU/Y+byMguXMm8UvsuN8IbgGJ5OuIPhozCX7pi/EIebU3
S1Lw3r0duhFKhyYSaNdjavdQ28PSkeiiTWEAoKd8ydetxBLw1ST8B9G0JC0tlH8xK/oX3K5Jjcdu
3/V5layQ8vekdpBIHc0OtOBACjgA+SpI4AiOnZov+409izaLEXafCQo9m7oZd0iy9t2Xr2jVkpdI
AOw3stI7yfl6Rmjd37nWAwabLQGWQNHpelqh7IkAbEKvZ+3EK12DMEtb8BgVfth+IYr7ZoY2ymxU
GmrgjZu27FFcloXeRRqO2BZTfRCr73ai5e6tKT1coKxgRYgj640D4uUFLxv8rg0ItN7VCM48zXZv
eTe/qGeod9eoQGdrHdbLuV8Wn8wI7sVa4MJ7DrBvGIveJHyphh2UaoDtQ2ikTcc6m+q4XIEVAfIS
gkHAgE6Q1alhIx/2dYbaFuwfrdGFNnl/B+RfuUN1BYyiWs+1tY7EuNEeKJkh80Xc5avZ+nqa2EUz
eHTF8cTPTbVCh2zlQF5la334YndR2a3bsQIN0NU3bxrbrDeFdwJg0hwdz1f02eeoA3YtjgBm3TTh
KJMmQJcNw0fQ1Xxl5AhiA5IyYbhfL0mHu505UnEudOulXLLpem0mlRpTrlvBwAI8Q7C2Ho8LNpV4
lRMdbXQxqrRvDPD5slfp3En0rkXwSt0xu5fd8anxIC0sZjBYTOVyOcJCm2W1mqfDFKF3BeasSmtf
613pwO6LCMprLIFnTb8QTzgi2ecVMyCVKrAmusKi1RyZO6ASO5pCOh9fezLjC42n7DAWmbnLCjS/
WLICXCcqwIUZDdCbnHx2yHps7mrp/F4Pc0TjxY0NGmPbZPglgAO4YUcE0F9ZntdQAWdTt9NdSS4A
t9i3Xh/F26KmPgQDYhqdIS+n2ldQacHBiauLT+3a9neDKmHrObjx0Pgl23ugXNs4qMjdrUue5AgY
OT/Ae9qW9TkE34+BuzEpcAnQw/f3HVI60dDM27nRZgfkQTveZ+DsM3hgFhYNjEWnd96OfpMbsVxS
oMAv+3bM3tuJLzxZxYrPm5zg646K7MAbCif3gHx42kE43MEYAZAf0BZVKT9awdQDNcd7DpQCZ2xM
auUBE046gJXIFX3MUdXfQSsyMgn0YsGnjeVZagCdbgOC+KgZSCoXeXS7AiD4LLMeLqz90QYtWsDy
eJ8dypy0GdQBy3oWyaBSqSTAPiWK8UEJwMkJAIz5nTPl/GEeFXShHBTkFqjUPt8UUFZAZuyr4QK7
sbsqJh9uSzSpT/3Iss+lmfVh5EWzxPkEmYmV07BduFzyWHdgAaMesveV4LyLnaU2S6UBgjtt+tIs
X+nnP0cLXnxlXb+2x+9Nv9gyB+f6MiLw7eM/bk0Lv79Mwv3zh8fRxX9+uvxr5vHJb+0ezHFKwJ1+
6Xiab2vB7n+e7jhc8OjDD5MO/2KW4esI5b94+G8OOmBEgZb+Nh35w6DDt5G374Yjvr7z15gDeg5L
IGA1FSAW6JHib2MOSj4XlAgODTaCAU5KIP3/GnPAzxHC0PygsBj0gI/TCX+NObDnULILrRSUFwLK
DP6fjDkcOfRHHLsAquY45cCpFhThk25YPh0BUm/CGSEBIFgDlBbQa6TQFyxQ8CbJbXdRiwAzp1/i
4ney+tOqvh+yOOlqcASN8ON4x7GxwQW0Uh/34oYhX/W4zn43BTJuoHkrNrgkwM/Jsj37b2ylFTSI
JXQYwasfb2VpNWLcQpuCYVvuGoKnmAI3ugFwNfyiw/izW4EoNRUSg9J/mC7Ac90vjPldM8/lbqbA
LVnv68TPMuyfvtVJM/OLACnciUFsgwmN0y7/DDxm3XAQIARWfSTsbjobxOd5FGneZVUiDY3iIcvq
pEeAt57e/KT39efmFPrsYMUYepqPRernIsto7/0OyBEBYHcuNh1mAwyDfvOnf8tGOExLExgugGEU
qk6b+i5X1I1DFnZWM2HBNjsHgzfzIMdN1bdd+4tLnbRm4VIc+l4KEQq9aCROW958GAktsA8w6iI8
AF/7AJMkn1VuWihs2nMgwvr46Qv+KEYYIiAaJqoVzEv/0O3MirqaFDVhVyEO6QIYUVCWNl8j+NfJ
5Z+I8aiM7xz9y70Ig56qgobasWnxWFksZLirhzrsaHmEsVF0kUfuesHAq8+o5b+408+k+P1uJ6Yh
GMqHnDdhp8YJSF7opQNNBXVAVfex0drHtq4/Pi1GAoH0hxsqmBjjVAkNBnkSypaiFgoKTb/D0M26
ZkBvvckhje+FWdVZMHmdhgF4ikVBB5C5T8Ijdeg5PQu5Nbsx6HETZjLFdpL9/TzTaA+kvY5J5odX
K4znNLLIE1wP6y8CE/6J/imMux3nghSwHKcWp1wuiPHgRuUUGIwiRFMt43nm4yaKgIUvHR6SXpkp
pSC9DWlm9gGtgHwCVv2VBIYkyftcX8OQZP4LX+A/PRrE56OHw4De6QxcpRtRr7zxu9kXG5IVHEAW
MBmDElBUD7l7PZe0SgCC6SY1zdod5q6yFy5rRyDbZz/GI+rimh2h8AJEEcV9lmadgpYmyWGIJBB7
RcQa7dd6Mukwep9OUFQlg7f6TZjK6I0fVZZoWg6JZZHcwhAvtCEpAPtg5gP011w8RU1IfMZ1PDf8
vGD16wAU+1XNFiiE6VpvLQ1lOkX+Goqj9Wwo5RovrIH5MuCwLlCxoLcR8AW7qqujJOPL53qhL73y
daxlXp95UfhrWLnbPm2tPzqI4jDXSsDrYSADuvqP3XGGbmyA4h2U7oor6HMBLajQHnD0bVizfhMC
9Eb+Gzvy46QlzFUe483jHYGHHZVea7+zMCWBHds0OL/XHbuwtGNJrcW7p/f7MQsqLiHawKCS1lD6
nAwRuFyPHejG76qlgSJ3ZNM+NxPdKGKX9OmtfjRTmMECCIOE1ohScXz+3ShWHmCQZxoNZEE1AryM
BgxjEkH+QoA/3YUJBWUKzOmDDB/v0qIsaj0go10kLLLxIHV0FoZcvXj6MvjHOHacKMNYQbUI/4nm
y1jEd7epywi4pl673Txjkxrsqq2Y2zwVrjMxy5yEkgIMHwHfdbDqrSX5zrC6/FVYonCdxwkDZiOp
wBxGWyjG7ER/A/QH1nKUbsfmRm4mGHfbZlPlt2zypUooW9ked7PeWGQeGjPJl4AZp13O0XjZris9
cOjP/UID5KdnkpLCTAqM9/LTiiNnURRlBXW7Lg/dHlm+0ShM8dr54SpzMKFSyNC/bzi4cjNEy3Xo
yyURJSKpVp2BcbzmocHzeAUdQ+iRTh9CFZFkKH3/aulCCTC1hKZSXkyHbmmuIuR/VVz8/AIaRosp
lPTg/0fdf6fbDFvdLmoCoRbLy9zKfhsmlr8uIIol/SCrNHNA17VSeMhYtj0sxXqnSnkLI2t6D52W
LJlhKBeAo9E3MClhbhVbH1aedQeqCr2d+nxJpxr6LrTyzdaWQ/+LlHA6GwR1BJjFdzc48YLJN3Bg
s7jdElU5TH/p7uCh5ZtWEYJGqIUgH8QSVxXaUwMY2UEz/xdWQH9qBTCVBP8pA2aU5Km7qwViycKD
21VR4fs4NIp/hLLqhWSui6Ft8skAG/RWElzcO5v4MOZJZUiR1rQAOil3W4KcSa1gMp5KPLXQLQl9
UsCGu5lXVcKqHD8sHcYQKiXQyvWGo8qkItJve1XZMzxydBFx3JytxtzJEb0SC2yUMxySftKO/0Lm
P5ZuSgAaPE4LwjwmoKXHRsOBya2zCgLCUDVvu2wnx6pJoxUVsVk5/UWd+JOwDQOJHJAng1GzHwbN
XFP/F3tnthy10m3rJ9IONZlqbqVq3BtsMOAbBV6AeqWkVJd6+vMJr332j9cKiH2uzw0VlO2SlM3M
OcccYxQsC4LOucvaH1ERppzacxmLdYv+cKW94noTYLhSCM8PmnkAp/XXx+pTSFxBKllJQ/ahcrzs
U1lvaR03hmpCmqquY9u3wqvUh2Dx+xj7L6cvxFbXDzw4/jaJ96+XHjMoX2lpa/rc5ks6hu/WoH+w
gVxgJr9Q8vp/OKB+5p7/eFbpRqHjUnBDAP/1gtFs6RWSmj5ThrcPk0feY1JoITDEEm/evtsp2EtR
r4fMdCQ3AsY7zNDhYJOt/P7R/3UxSV9wsngQpd8ey8VEDyOf2b9LqEYoa4EPZE6b3yoUPbS8/PH7
y/3LoenbZI5hBJnQpsj/9cH9qKyyBsrE2ZhhPWedkyYbba4/1Ij/Or4OSAYrieEVb5mtpXYy5YhO
n6mRhySc1/wwt2WU+GloXS4avUQ2i+lAG7k+LmnWJKAB9XGdrWuoMn+Kkf8sypGtUBVSlKNikW/3
62ImueW64mbm0T7mWZCd9LDdmnmHSRvHSjqAznMejBBtqsn+w7Zy/m0Hkw0x2OTtoXi71kZIj67X
2sPZOCJ/6YLBkvEyZOO9LhzZxIuvaFCraW+WWCYCQp19yBQHwNDKpbkYQM9aLLPczrmXpbE7jpOT
yEzqb79fGf9ymzsHGxK2HZDn/CQB/8dRmFthYWTr92d/TQf4Odt8FJpWHrl88Ych+ZdLRcTPILJ3
VUn4FvspSkd3/RDQ69jS5ofwTPB+a3OwYBpM/w+PRQ4qkbDskNo/olrXdtvYhaI/S7cY3kfw3E/K
BOl1OYxffz+A/xLEuBKwCCkiaoe3daO7pVmpJq5UeHZ2SMe2e2yy3j1yum2xvTYiFir/X8pK9uM/
AskEakFeDB/ozX7OoE+OUS77s3GdOWl2bL0oab4NqFv+EKmg+RIc3kRNMg1754EHoUfE+jV4hJVQ
U7Y5LBEx2LBaaGQNSZGLBcZRk7Z14tNvOvjk5HXSe/Ninagcp/W4rYHXvIeyy+YqPDDGy1Sb+snt
ZjqiQ1uFE/2d2qd5kPb5V7VI67byQqlPWV5niHJap6B1xSN5SeCrMDxEs1yc0wJN2VxLizYd6rBg
g9Q45PRJqtz54E/u5hxqAaPjVDrN6h+9qMvdz9HiFM13vwQsgRBHBZPTFx+89ECTZMg/6lo55rJu
QdfOeeE04mjZnXPVbOtqnfVUzfpONu0U3opxMul7Xzt1e+L/1gLNYNDVGk8iqtpDW80iuw2DVgaH
SXqqPE0w5R5n+sXp1dBa6sIZqjaF7je4QxzlxVODwEDQzhGqvAyyJeuScFKqOpmqMBBjOtMONyWM
HL9I/Khb6rPWtNYP6ywNVJfZpPZ1Y+nUBndoOvfQNXJProowdL8GOgUvCdJxTbZQqOERnZsVnNWo
S/NuSYP5sS3EMB6N1UfBg62aMDuiNMimS5LY9dSHa1ScRIvIJRZdtm0JvfTo3A4cUcc63eE/23Kh
NPZahh/LvK+TtW6Ul2iRQwgpu05eNOH0Hpz3NM2y+5R2bv25tkL7YWx9uCtNuV5YpoR720eoocyp
7fUJtkL7kAaAqCLPjtXWFmdXVJAwo6o5ZdN85c1mSdxOfy0rX8SSzvthKlfv1HjeN+FZy3FujeYe
huBMg94+RqLwzyLaVEzGvMVlG2XXWnTrSzD2y0FMpozbYP669b68gHK60eg0MV3dJ9v2j77l9+9k
1AxHx26Ld5UH52eyC+c6bOr81luYD6qFItZF+rRunjxLy3lPAxnOq1nTyzQSVbKW1URSoYOk5pQ4
aB3sfdL1sh/FSI/XSP6p7ivQpXURw1W1ru5hs6v+uI5DHZd5SscsqJrrxcsPBTP7Lg3FQ2Pl69FZ
wvy0bXTZjTVOh9Q17nkjdX1Is7p7bkNt37Q5mkkz9j4MrHH44Vs9HJ9x7g4hgDWdNiUvhzra4gDq
76VnF+6lNkF4BKS4cp31VMjOOVXS0Hid+s9tgQZAisdiMp/lmrbHBZp2PEzp58a3soEd2ISX8xS0
p9nq08MmrQ9VFNJjTj0YyZkKjzadZeahh89dRtshp254KAZrftdn0Nv1tHIuevqGvmYQ1+tWxMZq
v+t+6S5CbywuCt00F20Tzj+EhjlsimUD4armYtxMMqm+3TxKc9cesvSoimj8UKkw36CoRtWnxrUh
hwVQFSsOU4JEmU3Ll46xv+sXVllp4AKHlXNpT5lBzjKqE+pEKH6jUseVDXFMpSuNvgkNNGv9xeTw
lSHuuqlYYPpqd/hiOd7JLjMot5bLPZ8Dy1V/rcEG19eDXjVBihwCqDQKReSNZfk0aasghIlVGwgt
V8Cztgak7YuLYWCk4rFq68MWNvOHHFT/nVuX7oe0aavicin94ShhOd05ixueVDEvW7z2gHF5oe0X
307JJ8F3oepvdn3dccj+Neow84+7QDcpF1l4N+uq/UcB1+BHBLg/JWQBDcV3OtuHzYTrR/rvzY+h
G2j+m0Y7z+1Ks50STd5H9Eu/FFG7wNfR5jySsXwIjSi/zJrPMVa9HtXo9lcbnPWkWFtxifBffwKF
ow1S6nw7jfPESsi9qP+cZ2H/V98JJA0wZz8HvVtclEM61pfeOlanwtj6k1S9oT5Uy3LwU9mMh2nT
bI7atWRS2QJxjO/LpCThupx6iNcBEPKRqjQaThV1U3PR0Oyt47HI5qc+XbLtGMrCCeMoW5CtoOnt
o6ShNXjZtdC6WYPWcpVFZf6I8qGOVQDB56QZTuupRUc9JUFXRfl15m7cql/NT7O7TsstEsfsvgh7
qA104W/VGIY3Ihd8qtcVZ2EX/uM8unKLyUR6GBJ5fg9brHsGunOPAGfyPhvYqsdW7cyRaa1Oi1oh
4QdBkN3XdTcHSSdzec8m6tlUzC4gfH9VNZG4h9XXvQxzNrwXG+xgXTDeRVmZ82Zac4YUVlxYgzDX
FkvzfSeH7gXybAsP1t+6+VD1ZXFmZIsLuTZ8rAWzxRlEf9U5ZXSzzbp7GU03fJ5zxnULgv4vBa+o
j7cpZ1j7tkmvMtCI8xSN+lu0aHkvtt5a4llF2f1ayKIj34X89G0rPQFNvIOdJVCKLbBZbxyO5e6w
RIiGrDzs+zhr87IlQk2pjntlOx86x8j7Qqr0Y+fnGWKJST37mV8dxinf4OpZWwpfPySJlJPnHrMx
7K/MYKeHzJrm66Hh4VEErx9DBGvPbZYWF17HX3e2ld1PUe8jjQ0lGTjcCDoWHtz2oUqhE4wRIM6h
gDx1lTcjv5DOURhn2VKPh3Lr1BRv7HNgrFZ/MhBrf4TBrL8FmZAoKwya3wH2cYyOqJvoubjysWjy
+UmocQqSRXGTtbSrh3Acuq9emfuPVrT1ddy1S35v/KZ1Yohxw+e639Z3oa+nJ7tbq4din253SMMb
CYHtoRczF6osc0KLa7uwv1V+LzSjhgTJvLMzy/ywN1WcrVXAUAC0Tx/cphSXvZ23N7638Ilqqx5I
2dePkU1HBrG3sK62AUj8aDW5+RF0wHxQQ6C/xOAteohb31raxLdU0BLJN2RMheWnDyKn5Iq7Sffm
splnH0HGxErarH4g9PqClUbMyu/rqlRO0jibemd5JSDujKAGKFWH+Xzpeypsk0iPP1RoUTPNdlMm
fbP0P6DeOU8i65bDvGjnuz+X05Sw9fr3RIvth3J3WZnvtpCmh1JO391w2iRzFrD2u45h8TnJ9dmG
VDzEuCo5H2BdWw/RaBPNAn/+vnZh/35MW4D/3u3uxtl0X9YyRdIxhtl96vfFeYwglxQ69C6JY9Fw
RKDiXbZWNn7qi6K13w9WqInxqmrkpTKKwQu94JaaOD11UzoQxPBTADcdoev1qRc+w44f79Kmy85z
Xc8Xwm+YGo7NG28Q1RTLICve+UJ3p64VGoXHnMbDlv8YM8Vbuuu6Qzp33ouMMnkSXb0hSTHq4Hpr
m8jZ888O4xXT0RTQoAb24eg15sFpoIOThEA+FWX65NYZMhtLPY6RuJ0DQuJq2wW1zDAclikq73rw
H3vK56uy6QYuW/n39tI4d3nQEDe8jfa6XVi3q291962R6aOfuuoSWvGUEXQR1jktzcYe9uqlLMar
2cAdLNibt3YGJ7TNgvYqy1sTk+qTAka0/4BQv0Yyh+sWtOtDpWbv21yLq76wHUIalOnN0/2x9Z0u
WUdxva6l+ES+bcfGXtVLtOx9JjWecpDlyz5VAd0yfB4u5lKZT4ibsge7zZdTsHYXvqr7Q7RYqEKK
Xl2Ey/YV/K/5gi5gCzhzGCTXEhmBngonCYwReVJWlb6sLLjKc2rZ91UjupOeJhpfztShWlqWd1Ds
7bNXlvpx6mFhe0uUPUyai0wyDd5NKFZjgGkTU5SKr1ER+U++HuuLogie1tKGND1nOXkgqVzcFEbF
qljy2yIEuFGOe5l6m/OS2+lymkPLPo+usx3CApnW8lOOCDM6XiqgwswY/5rkQnwqhTy3clXoWkoC
sCqpTjO/j85RHUU/5mpyP62dcO6iJtpgLTTiQ5evZbKSw+7aG3ndYCbwhE1H8N7MzJKc9dqfAvLC
eBiH7Jita/d9o9XkJl02FjBYWQZFW2dFbK1tR1jrDNqLptTJ2pVDQgMhjrbRTabAJ6EXWfm1NGt1
lS3txVj1dRlLYd0oU67vN9v9NBYwrdmKp8LbShI1KUnIgumuETL9WFeKNEPMp4oQWMYd0r2H0B62
Q9V44bU2BdHLzo+5rKu48gZ533RSqSRfIoemRb1dGqPmW1+iMSFHsyo2nN9eddla3telBw24LzcU
f8PQUpbWVsk2ooc2I9kZy8+NK/yzdADggdYUJ9bWAWlMhbW+i1KvvzGA2VR1wVxUMV4T1VW0FPaD
DMTVUAbrRTqjuAh1dVszy9e6XQKivqppji5IeRY93oD7oj7S5QUqy+gzQq2YOufroNopaXK5JX3n
zwmc/3wXzY3O59XAj1Ru8OJs/vd0UP0zGWv9XOtGEbS09TGopXXy5ik7jsHUvDc+GQvaJ4emdzRu
SbameUc6tF7MbjMXV5anFnGYA1sHF0HlQEVtha/urSWrsrg1gboHvoFR54ZlpmgD1AQh5cjyuWnK
9r3bh817vwBHjgtDAC1h132rtWu/tLrMv/UpGqHEtfjAHhbAlRxK9YigMFw+D2Q8zFtBkdNgEsIp
YfneZd2FnCjR2n3htAQ722rHnQD9+ZFKC/cD+TGVKb4T4iqr0NA2aDe+6UkDImgzNT8q0YIq6G1M
n21dOi9VPnDSKxR97zRqnme3GijCRVpYUdJtqf6GOthqdtFgFBy3SraPdb8SGHS+LuoUZOOsTiJa
QDQmmPVlnKNlWGPV1uox95EokmOq9Fk6kr+JurUeDvCWK8Q8rc0yaj0zVodZc5fHUkKXOrSwtKBP
I71o4rIQrb4uNjlSN9rt7OSQKZGvnUhe+eTNCld1KRbgx0MuImOdLbOnACMd0jSmmIpuyhzlzsEf
GpLWOvWZJWvjqEvqdUqf52FGC5JNRYSGLZPND3eauOrUe8Y5LMKLnl8HU85WNsUe7cki2TTUY8i+
26pi6gl19iKZJR5SyioBC2LoPUe0jxL+WHuuIUs/7cyCggKzWquLzgEFund7uTqnUW7y2mDw8CgX
GBVMIf3WBCcYnq8KJHjI0EFpvtawGOYzepEgv43mcf4x+2Cj8eTKDsmw5eQfKjO753Zq20+NEwXv
qwBCZtJ1of1hyTttLlZg+PReTDz0hTvb3CNZOXddoL2kyjNra9H/U2hKmRP2Lth/bg7gMozibI38
/oaI8FtB9VLE3Gx0A7VXfy9KXdbnaBp6GhhRU5QwsAt3TWqb/RMvTOd20YL/XS2FtuyYdUhGJ3OB
ZwgscECUgd4KIqe+kANbXVBwcwhzfiXwyRFzteEErcrd1q2+z2cUd/2eQtZBi4iwhhv40cHL5tjX
yr6iJz1cLHiuvG9wPriBy1Q8bVu+fFxcCLc/8c7/z0H98NOQ86//dK78bw+z3YrK3ZHd/8uY+wcD
9Y1D2f/wUH/+3d8sVN//r4hmlw//FOoozXxw21ezLVDV/5IOhllh5JGM+TuF8G8SauD8F0B2AM0a
jqYLqK5fjbacEMs8l5OF8hB6Bz6f/xsG6pt27n5FZ/fzoq8ZoN+ED/oryls75dA6SyW/k2OMU3R0
O9FRvtvdXGxPUk5d9VVYA+hs2xttxAFevISEZKkUCnc7iNZCXbNWwRW4NCqXKrLa/mKJmlrf1rLp
LENSvMq97hzLVR0s3+dsTTIgded7AIN/eqjzNai/hiF87r+8hphyl/m0zhGkOuwgtLHUrc197tjj
0h6yWg47i22RTQOl3/TcMvoavATcxmvLH5aed/ThP6b03Svm/Z9E2V+xfuFH2KFgy+Hv5i2Mur23
2f6jWRI4TTHlfh5+TxeFL8PF2IhaXNRi1kOAbwR5z5JsRYcVLEGgcNPT7y//pr/G9SFd7B0trE6Y
KW7m1+tTPYeaPl/xrXQqryqSURGVyaMi1+rLE14ZAAiHIR8zQSdRWFvXviOOG41oX2z+4l3Bo2p1
FSvVewO5ngx7fvb7m9xbD//TLYBABytH0JqAs4JYmWX56z2uOSYpQOvWN3yEZigf2RZkQX8C/Byh
0bXD6PvPlbSRXv3+um/mZr+uiGiWuzRH4KW8vW43GRUoywu/ZYhMtU/d2NX6cy4QZWZE42Iq7tsU
82DYpLlyXf9PbZJ/PHawE0dD2uiQoNhDvz52JufCstfc+2bhN4dMVS60pr6ykazxUnHm1neF5Sjn
1qt6Mz1W2rZBLnRe1AzK7wfi177nPgEh9EsBjdGmMRW9ZQzlASrw0tjDN+EvbLmTQTLnVCc5LBN0
M6gEwn8eJoagjzWUOP9ZoaIYouNcAFstf5iVX3t+3AwKPEE2Dh8UYvk/mrAjrJ/S0PL4K422Vg5n
1XdNCr6aNjoyZ6ztVpbI759/tyX8dQVKcAp2CRsVipL31jcni7ZSRt1oveTFEDTWBazJfUM0q8ox
Jp6WEtIUNhnaoPqg2ERQDOBv59Nj0/mlSVrLGdrHqAE0bQ+9VIP7QBrc6pff3+avvAtEOw50U7Fb
bAXE8H+w5aYlDemmbesLJlcDiwA/C5v5sdfFkxbOV95sPXZu1e+bZlzU/lIAxPxhfv4xWA7eVyTH
cPZAKgSh7dd1G/auHo321UtLVUAML4leG8idsUcjr71UEvd1Ng3V16aUlHe4NTSDIy/A0qyZ5k9O
tN0jPxSp3ftsq+dr7BI63EF+P1zO22Xt/GTyQxYJXVYVDetfb3T1lraLQPhfdOr6VnMsR93V07t+
G4uuTZbeYP6CfrmZ+ZkymN6ZQ1htxnpcui691NFQAzBCibPNdZP37ZjGLZ5X6ZhM0rbqB7+Jso10
y4tWQqJrlcZpr2y8Z/jUCmcJcMk/PNCvBEMile/QeY92KhFUFBbrrw/Eymz7GcehZ5JdWeJlYoeS
pZimUxRh7YDzFqE9Na/Rs54wooynn+EE9kbIj9Zl9PyezNX78x4Sb6M4/BiSEVwZsWXc9+6bZUGy
rps0V91zN7CL+qOnq1DcwuWi9erpyTAcUTrX21OTr8YECAOHBRE1AX/xH7J+S1H5NkCDT4M1af8u
LPw9QaBGb+roXE1ynx6lvYglZOZAzg8dpfH2tMF0Rvpo1/V+aBWMPhOk2gglZuyhl9qewmZdmTtP
loYXvdmgvYdOaiAJH9ifv6rWrCDB6H9ePgoBQJc4VGvJRyiSB+68sNo9Nxg72VRf6YK0fXeK5sGZ
H4WntvFmAP4d4rpuBrdJMDRo1otMcLh+acM2FU+zPTsssiDMyDPmvlWkKL9fG2+jJqP/k46Bbh2i
sPeWlOGlps2cqKufN6fRNIhWasIOkrUqFW2RqV8IFL+/4ttohCEdLCR0MmSlnN1vr6gHHIqWxlu+
eNu0L0Y48Hv4252lOLz9uZf+c1p6G4twcadRYzBFYGGd/v429nT2l9gNVwYAlLMCtQmqpH+IdoAl
errlzVMj8Mfy4lFN0vqu+rwnGuUVnIAjbEBVvJtpZxFxulwqwKdwdGcK0iBY6jke3axH0xr6j6s3
1KGJ9eL4M2xybA2TXlK6XrOI4O2VcM0owgXUtn2z5zbrUGG0CLqbltW47/wZDcc9upGgQ61RDd76
J+e6t3ENEjMqF3d/6t0++R8E38pPcywkdfBxnlq8Ao5yGFyS2Hnb1y38DyEucmdZWbb4enm87JDD
Huown9x3BXZVbvqYrv7+ptsXWzNcFJ3r7SGyp1x3Tn09d7qgNWwqdl26NHtO7ZiwYXcGTs82+sMk
volstLHhF+xSBSh9cJbfuuT1Xttsqmzdj+GYe+wtfL32Gxgtb9q37s99jNm34d5QUu9bnFi5h5QB
flD1FV0tabyzyv0t1Ve6+oofRyAuiqXexwHTMuXfpf3KbxXQkPkYkzW+PlVWMHinDmqupxPDecHj
/uHR3mSZPFrkQFZ02CoQFv9hsTqulRPUkzIfvWzeI9U49Cytrd4K9ddohxWmH2ZU/faEicN+PjaW
AmwHgmhq2spb4ztjdoo8a1o+kqUODMcSlB6rD/oh0aQFdmKJiaXu9ug2ETYvCheNv5uMZCRcsBhT
m/9RYzkMRZMJhmIcg9waE4Q+JVsij9yS/72Ozx4Kqz8wnt7sUQRgCDw4v9DJ8M0T/0h1nWUTPqCh
9WFuAkV0eE1v3Txc5yqhssyz9k9h4c1xtF9SeCT2O4fRRrb05jiC90vW2q3BBz3BoPk6mnFkQXH2
Mz6i7ISSx3TBMxNXhhrvzuGintOWlIWgxygtw1qP7wJfh2l5SkcREgzYkPPDgAU9J0BjsfHHteWg
+nvaMjgBDOVahy17hV20Twd44j4R4L8OL5Epo/kB2oziTmSFg9pT5Y97nfr7JQfl99eYyMPvhwBB
Avo/WdDbyoZ0UFuZvZoPeW58cGjEhl6HLaidlne+u4nBHPt88Dv62QhOyhygui/6K7uevFXGHdmO
dT1kjSVu0yYPvKSnrZz9ZRe1fbGkk/AxD2tV/U3A+x0eGuU3fHsKzngonWeagjQWIM3sciDyRz2d
lkWG8x2OKSkQIP6OjXPj2YMTHdp2iJykXMdpAFBdw34DDcWsT6xAytXMZpi3Aeu8GLOmEkevyHUm
8eijYhdZgm3gtGDpEi25A3kDg6rxcswDMrMkwC1g2yhrWYrYWVUmpXWmu9I/AclmHhw0rOk+wKd0
i6dJ1Fl68MToOomhPlUg59moI/qOLt0btHDZBYzc8UBfedmu06iFbe4sTu6e0OGFuX3sKtWIj0bO
WWV9jLAzXD+sWDqOt5YeW2tnJwfTN6jJ/vBxC+YMLUinlJPr9xE4XXVOC9CN06ZE2KgY3yAPd5tg
2HQfvjhNGbbfcrdT83pgqZj+ezSNy4J3XU0/s7yg89jL3YvClrV/Thur8u8iJ7Cq6jz7nYvt0vc8
bL2RUV4dLxzELXyXmSW9OYPu8veeb4++fWxb0XXB5RSlRV7f0POp+uxYztm4zDeLTLOiOKWiWSb5
kLau12P9AtUqPLFWfLgxuMXZHOu1DgsM+zJL+P14yNNhK83lkmkrL85LAbFOoVVaBAF27opJflbW
5Et9yeJYrDRZPNIW527qyLqieDReuPr3NfRJXsbXN62iqPkZpAvB5TalRf+yTX3k0mT0sWpx93aH
FQSJKWU1IbZp4fPVNIXm/Vy0adfzOJknOVS+rqnxMUsqZQ4YfW/AyLvgXZla5VKfgsrDdumywtgg
nO/90pMFPoRRtGMSwTDKvHoKIG5Y27UQNWK6I+RkQvYtUbvP5bXlpUNQ3zhFXzj1u7JcyjA9LiWB
IINi5HjcOyFrvyUzWzV4rJ3lpugPdleVA2j+aFuy/exmbsv18AGPoo/4vfQI6Si9GVl61AUnSOL4
mGthdSozUpa476M9pxewa/bCIHdwWjjROdlHzKsx8ohipfPRemybYA/5Yh4zLJloeyoWAGi169Op
HnbLxe71UXPgdoavLyGTBJwlOuVqde5QZEKz3KfH6UTuyk9Ojeclfmwigip7sCZrYCosyJq5+N73
FDQ9epaCTCtZQgceC4K5XE4WMyimfnoaSxQ8LeNl5Zs659MmnPU2xLCWWymY6W579FlZXMHjR/1L
aq37AvMHa595aSzeq6NmH5p5xladphlsjoV7mFvNZZO/n2cYPK9/AXDLeU+unfIfKynSyEvEEgEA
xV2QO4zF36sn3XTERwZ8ewA/S0fzczAgXzN/f+e4eLDJ/X+exqcdKtxgPf491Nbrr//3IL/+HkiB
W90GLl8NECR8Z0A+v1SF3xXDGecQw0P3IPdcK3O9rLAfKcAzFcXydaLUNo8sNSrvacguoZ2aVMZO
hSDAv8dmVTFK9N5qfsXtwNig0uNHM0dxZWO4g6tig8aBPRpkdv8SvY6g6thBxLXXZ8pdSHroVRVM
S+fCQPXnz+zXqX1dHn5a1YyPLwr+4ijpCfKJq29y1mnmDPtlcpH7vGlUbwf5R7o4YhqveFJvH97X
hbRNBu3dkYfcP8UpBs3fIdrzWF16zPdbfx1Qa1s2/qNqTwncojEsw61mQ3q3dudsB5Hs41JMNFVv
4AHtyIdemF+Eb27/4vhZy/KBZtrsDz/MJLv3Gix7/0B33l/EnGFxl9StvW+HZpP7/bcTpl/Lx6nO
6EKf2izkc3EmdTLvotImcMZruvL7WqGTE43B+e8hj8p54HbQ1FZ8CCeA4uJlV1Sc87PTb779kcyt
DOdD11tjixufzrDOS2SZ8wVgmNR1YJuQHHfkhmnKp8tAZft2njhfea8yk1+Gp4pkcTVXuDvUuMCO
Qu2NtToSdTPHqc6ADeGFTfw+dkWaF5JGWd81Pdagd6ah6fcs7cUBKurB8uu7uRpTQIFlKLm6k2dq
fvIhdVIFpGbb1/4CmRyQePV6lwgTDjk+Z8e64YhtjquF3l1jgcdRtX6x/bUk3uC+qarq4m84GSFb
PsBnzmvq3b+M0HyVD56eOcNx9n7umV6FNQOm8S5KtycvRys9fuy9JccqHH7O/uhrlGmGyOvWreKJ
KoiU8uhvtkOUGwc4yu3BWbt91YBX7Uv8FT+lPQ7pO3Ymd3/esShcXgYWOL/fF6CPVlzUG7hyJNyq
jWIgC/hTt17n0LI/YIW117CznDTr6hVk2RxZD+lpavshdS+ztIesGm+v0FuKhBvUsJeiAqJM6bT6
tLKpndpkpLlNHdpU/r6fsHsuAOExPh0JlXjh0EO/48sOIoaZWm8fvKnwdqiAnnAFFl/WLWbM11jZ
8ZRfFtKz1LpaUj0MxV3klTtIqSaOu1uEZp4/vhfAWCY9rmlpmfzkL52scYZWlgPzOQAE8p9Fhn8C
fmSc1Uz+ZkH+S09+2+zHRiPTfcxhmjssvteRLEcFEu0VNo7+V8sGfZ9+6TYt1uNAMg2qsHV95D8T
b1lf1tJtjEAp7P0Z0q6FDX2ivNxRqho1544FRI1aumc/MnnvvCBR9es73+87k54wWdTYQyLtK9f0
yInm1TLWNfi3lYS1EwxPIJJoBj7gUVBm2S769vL1YQnIbfpv0VzgOf5FpyHQxHmoprmJEsvddPW0
ickVEA04HVaKfcdR5JRBIKPJmVjlTRm5CXaexoKHFSx0ptbD30/yOpd9VwIQJ1J6uPcd05/hBurV
Hv9wvtujyf9h78yW20ayrf1EqAAS8y3AQaQkWrIs2fINQrZcGBNIDInp6f8Plvu07frDFef+dHSX
o9qiCBJAYufea32L6n+7eZEbbz9Rf+/eJ4XY/j8AMwY/sYCl4A/w4i4/wc59m23kVaK4lVOqxeSy
Doul9gU36nZXhnL7mx+XLDUlK1GIlIa/emvBb8upkcbdvHS2H1miM4M7nWEIaKLJRG7x2VnWJBSn
CUYzL0qNdWsH9syJ+MOhLBtO7WpyfQPA4gTTt9yOvMyZNH7+8UZuF/JIA0PFyX7bsdV5sfrgImul
nfvybcEq3xqNLdRRrgaQ01sTEttr5zg7mcoWM3HWetp40GjD+czDxBRvPOci3co4aIq8hw8qm8PS
32842Ok8R6LE1dtNrsQ2ZtzV07xdk36yipKRetbXUu6zgnCD5PD2hdAH3ha9EmYtv9fpLaO4zoRd
IU7/8/bqtw09vRzWB65gweLmkeXxW1s5G5gh0K8WD1nTeBy1n6Yzd8MmB0D25mx3UDXSeMlwVbTb
sf/57beN60/Tsu3tvW1WA10fDxI37q9NYGwyjTH1Pq2qt6WxoAfMUbAP4E7681v91kDnbjJ90+S9
aFnxT2/b1v80vJyCsg0SSsn/XCNmOSOCalXiIB8OmVmxIsPS5w+dF5xhbDUOp+zH4vjnY/m1hQAp
h+tnM7QHm/eT61z8eizJaAvat0X6EDJV8z7nrrXV430f+PZ+bSid/+17/ucbwlyhcQCkFELBPwxT
qHxMuDEmetm55kGRwiEcTv5Sssz9uLP//AF/N2jzCendgniwiMmyGEf91t2fq8JJ66Hy3v9YMaZs
3Zr2CzA11z3MTh+Mh0Ila3evJ3spdhKKMLe53bE0GP3q8Dz6lyP69UrnO2crtfk/bT/Eocl08Nfv
fAlNY/IXu31fvd1UE3Ud9/gMkJR1PSdPi1OQOXrhzgxxunAErYFQBsk+mQB6JfuDnf3BlXbj8ihn
acHU36qWH+f+SKxLvtjsJ+PpbZ6l3pbZP3+I308jJw47pwk3h5YslNnfvlWeu+2ANGq8YOzcVqb1
eyGkerfW94sRaOdfHK3/v/dzNyrM9p9/5or4iBo5waa+/HjszWnWFpHZsLI2UYec83/VWsOZS0wF
1CNuDDJBMZr/thzYU0InesyLy9tjiSJ5Oxt+WXFf1EQj8JH//IX+uv7Qn8WRyYW6iVKYFPPvv14U
07LOebe65ZVfGx1AfV9K3/7sddww/3YL/vOtOHUbWgerJJvM3z+bTAT0Uzh+V2+lyAiZgrVmFq3k
jz9/qh9SjP8urEBdBG8VIpAx8Vf/02xqmsxl/Dzrj90qzKzfC3fe1AgaP7pu/u7Xmhl6TBoHvdUQ
4vnKbpEUgnSwcFqFEgkOsNhS0fm5EQ69B/NOJi4eh6uF2sBtLsmcl9a8xIlg5PTcE7LFNqjDX1i3
e1npVQxAuk2vl0RvubTabmwoIrZ3F77N82AkjYb9Lqml1c5ka2RjiGRGj14OzdgskGpcsdHwc7lD
bqo4FT8KFN/gZdkWprBdChsfn4eF930Ze9tqlJPJ0j1lUrB0szXcyoBpFCCqrxqY89Wl3kR+D5RY
nvYvdl9txZzxVttAr6evEpnwGrFeIaNEoR/VfQelcucpvyKt4D8tj5bHZoa79Xsh872CYrI28f2u
cIBZJPx2pLPE3qL0xB5qEm8pS3YV49lkWpGnCBCB5AKAm1H6Vo82ZW9oX7wFAbo6FR7GQpoBACrp
sy5v+7BwWnq73WWllrRd6cD4TBmwxw0B+QMGXKkJwnWLT9cVd2EbKn/ap63nuO0HdwFu13xg3rBN
tKgBTeFdcEEyRPgA8NVz0h0iJOQEh6xrLavAmEDR+ffC1rMPzq43T+Kz5c7LEFxomyXqvg6x04t9
USPrYyfMwkHKSDfgXSGtpVk4t7tpFhusitAMun0xpZnlBvHiwD69AVA8oL1mHD3l7KbDoGMummdQ
EByzGibMW7Jcsl3iUHDXkfRrSSABnRdDRwQ5biO3H2tRyzw89W4CybpdHDAueQhhf9RZNL63OnGp
h+2h83ZpVN+rwdoHLUFFHaKIIbasMz0QR12fNj6HIUq851NpjOEHFvEmeFAbvf0gc4znUYbx5cFd
tkA1nHfJMXdG+yo37fWEm2C8opPRvPc7D5AZwv2Lnw8VkkVn7D4kXNRXAPERR3P3ZTDnVfUpNfNm
B7Ya0kRQ2dDC6HTGk6jd60CZn5uS27GelHfjTbkisiXLOLsm1Gc0086+aHL9bi0qfP1U5cMelLRd
ccV68mum9IPAb3ENqSq9liPcWZcUixjtS3o1NjrcZeEU3Psqa5nrq/w17/EqVplKkVzX9c5NwvYc
rEIeMAQyBa6Vi1OpDJYaIEntHyZ+5SlgP/YFtbeGZp4lr22ImbKcLXJqlrBwcR2YzYOCo7dGFS2a
PkJCnT5O8xq8VEaNJNjW8sMUiHxvisE8OyZO4KgBM3bj0KY7dEOP67Hwk3uah2Bbs8EOXy1GPexn
LGW9H0WR5QeswcbeAnv8vh8dGg4sBbt+mfXZ7rfMIldOQYyRNsmCTzmJIcsJBYL+2gunsPaNVli4
U+xISzTCavgWDK4vd0ZidGcZIkfYOdZQ3M+jXbJPks212w8YVJMga17Molc3s++Y171nbVcotjFm
qOk4nWfK2VvTL8cT3W/jnEN6AUjO6vdqTZNdR+sawBAZ0BU+T6qdvrWGMccit9YXrMWNQFGgkA+u
a8+Vm1V4BlBMdZjE16mcz56GZReZlsovi+WzELOlisfJruwzoMlKnbu57Q5CaXHtVnKO6PQ+udPy
FfZccnEsbp+x18OO1qIJBm+Wow++urH3jj/UF5U53fOiZmoyk/E2URa6RAOB3yNPyS0wtO28MJlu
IltU0IxpFESkIg33MzS/e3JmwEqWw5A+ttnSfupmJUXUznqOIQ2pIio4PiauAT03brw5W2NnDqa7
UBAfENfriPVBqjViyCOf6ibfYp1G6z5kiHBSogtiAgWSs5PXzksfePNNQb9/ZOzgaN40GcitMVp2
pDq92SC6eVRZZfjSGRQ1u4D6DCdF0bd33uSVBxZ6qBPklvlXg9Vkd+h00HZMWfcomlqB35utY6FG
7wVv/OPEPvlxJRcrOOLPhCbUyvTbwhdyzDAO6D1l4PIAI87FGuG0TGxJj4CuPeLhCkt1bKlDrSj1
+/CRiJXwiz0r+wPOzubLuMJa0VzguAoacesgLEA77YldO7fDA/Wlgcy6Hm8MrPWfV7Opj3aFUzCu
aSdfQMU5PMtmViSzyAP6QTgZr8gyRPPd18WxdHX3iLbL5viJEMC4bR8Kz+6f6cu1d2GdQQ5aqvBB
ym69TvsCo7XPkss2WOaX2jGHc6ed6a7GPf+hA/vw1S5HFgfRLsTSLJKbh57WO8se9PXc+dMpn2Zc
xyQb1EfyiZwd22MUlrQ9wtNqdMlNkmTd/SqC7DGgdfJMsA2+5DRLr7jZ/NvVMgY0TF5+qMLEvWHC
bdnxIAH5BTg3ba73rj6sqdHclbTg79K5UW2MMsQ8dFPRPqtBOymb63W9gcuprxEqlXQHZPMhtddQ
smbLeW/7ZXBlMfOLR7U674IxtenMd8arkQg0aDeLC2IsjBc5U+vinaWlHdyUrj2ClzeJniNTpgpV
cjMZKr2jywKTiwSfp2roXnhNSqM3t556SQVTaL+4zGGB/BLneH4OGyU+ayPRU1xlkwl7xdePuRjH
9piJynbiMLP8aydpuuAQmmCnYa4HCvZzj1V/ZN5NcMkq/ahYh3CMpJ3Ul8Zg3n8Ns8Dnu/bMaehu
2nBk0GPNnTWdaqeV7+zZMe4J/cxV7M1d1uyzUHXvizQf5Z6R75Jdy7xs8p3R1S4ixCSxjCPOzX59
vwSAW7PjVnqYu7Cdm6op+dYavC7nkj15V8WWT+USu1In4y3dEvxMtrbSD5O/QiFvzMq7Qa6XYKCw
KBGvBzbiw5Obs/vrWEc6NbjYIs0Uy2ByNQ6ef3bFbNbFh9VeEoE5fG7NUJ+hALfmKYCksBzbCgjE
Lht7Vz+ERloWKHDSKuyizsAdVsbEMM0PuY1qJhKZU903i2Wsx4mNJkxI7NTmDd5a7ICio49/61cs
pzsEcusOznh+LgSUeDg65XkwlrnH8bQYXrjibJMk8cgdfRpZbiotJVz5bhicIhgIByk8Mgxq3Tfc
DwHjzVhbi5B7x9JVdlNmTGcjWdPmjdeBAKII0yGDH18X5RXQCbchfMKdbsucNumumPP5ygbbFey8
wMyw1nhFZ53KtFOMI7XrL5GYmH57gxguBjEtfiyLxAGK7GDmihd6dk+WMrrXMaQ0sQnBEsemSSx7
n46Z0CKmhMuAizObR4pGBl7mvV8MB0x93OpgyauYlZTATU6ekc/5VxYhyJr7TMFLdNPWAq6HF9Dy
s70SJCy6t5YxevqRYa5Mroo2cF7ScfyM3SJ9TDP1OQ2VW0RsE+TDhLZjnwRJdzR5eJgsEl7H+Mtf
r6tFVJfOzvVhzDqMRq1aVeQj01REo7jygWA1b9d1INw02Uysr+Mgvw5pQtpCA5CrxaN1y4QxILBm
7qeWoDo9O3dhn9kPcLO6DlIEvR6uBy6YCD3c9Go1qrxXZEEF+x4/+U3f1A3WxH4A+jHDKjrRNU5B
Eck5PEkyLoDft9WhbBP3gWADax8OWXNNYJNxK8rZuRaKoWWT9gyvSX7CcCqS8aXWvj6usxAgw3we
wjszHNt+ryyvuaAfnIaT6qYkCuFy4MckQjd2vB6afWjJBA0pgkh96j0+HPkPhvWwJl3+mjD3bjfE
HIHb3JRQBpeyI3wQo82Ye4TI5QX1BYeQvOepA2rED71Y1yp7KvLU+kznbT4g2gmPjRnKg6/84s7A
chyP0ss+mbV8rAqUYCkbt4MPjOy5mcTQRLBbmmfbTLqzFnaCPYrIkiDOaY6C+Rd86NSkw03cRsxm
135XsC05jzBmvpaZ7X8uk9T6BEptuhmZ3O5c1TYnm5bxE813UW5r2qwijM/trQe6mbqVxXG7CJ2v
Do5FPKykUfLUnkX/pcHfme+B5DAIpZnceKfarfMm7rt8Hpg1rQ3NQn8qiEmqWEciz8gL97ZSvfiS
gdeAdVFxDFGBeyqIS34vjn9gHfBJlHuS4HJIVQIxgrvO4PF9hpMwfFTs2rK4VLZtfubBO0GqMYJp
vDKGkuQcVRhXpOaKx003cLAgcGicfRh/sWQWX/QIDZcVyZgPZJughmoS175hdNddk7hpVRHuOtHd
zL1WX0oxzPmGaqGwzcdq/joA/uiO3JTs0zRuQOd1ZGo1RkzkRnIwR/tMkxoY1pTPK8U8stFvuNTG
5CD9bLh2QHJs0SxuMuzITDPcvdFKNL/mOrpPQ19Vz74a57jsbaI+TKM1L3ryrQema0GIKogaLvKG
KauOhDkMZ1a/etrPbQZaqJ1DSk9UHEZzsbMJdJjG2Qn8Q5qu2uPJxmGAIoWLKHYymRVOOR7S0WOU
IsvNKzwkGMXZxmJnxAIpqKnJyF0/1QRilO9EY039jl1FUrKkhWCSScSzdFotR8MURe2887SdBFFp
tbn9UkHxMup4xPpXJAcGZuVs3pZZ4zVhzG57dgAxrpnsYVTwwHWXXcb8KqgijZrbWXY1xCBZXi8B
qAwz7jUbMHVXjXSHIPEi8w71odOKfB8yKpwm3U3cKoxRcOPYNQZMECPecEip1eqTzrQh/+7bfh7d
PXGOuaz3bsus7SExBbOXo0IoNdS7bnEMs7grtCo5D46BXIqAbK2ZAYzI3Pn436QRkvPUqb6olx28
ptn95DJlyh7emrWG2gYORN1trVFhJbO6DiHQshNGL7DNQbgPV/+VrEFz9o7oqlfut9bqw/xZqykz
gEgFNLoMdrZJMXk8IliOhyfSsOw2uBkoKOeLWYTm4sQ67XVbHlemW5wtHnlFU3yxMeKNcgeAWS81
UYN8PAImG1QWhE65vS2TB3twVQ4vCKFqbp9NrdulQYeUD9Q47B3S9oAfsWA9NojWKlEh3QrEXJTu
KmTFXEIQQkPgHPPBl8ui6MKOdFLzGEmVBlu0T+vZyau9gqvdQOvpCCi8WSn9AnKDKi9hCjYmIZAJ
y2lDZ+8vq+0cmfvJJxXo6tFAXUMmYoP5LHI0984etYl8NeuSKgv1e9aV+8brQ2B9HTqVOVpFy/Bx
9fTyXWV/DuGm3LmoY6/oA+c3jZnYcSk8fVtYZK3tlS0Ra40hg2BlVA9FOE/+qaWE88mCVgt4q3oq
62M3mKgY50AR7YqEunxV2NtLltbNZ4kHGTDgYK/L+56485kCwaj2VKDsEGG9u+4RUOggd4kM5i/w
PuZFRVY6tdb7oMyx05LXUn/tyE/vor4Y2RrUqzGyG+kKK9tTTnT9lc7ccnxNiQOk40JFLep4LbP0
gE8LF/9BaitAnCNakgoT04H644CeubL6xn+uYA9YfUysGfQcGoq5yw7VX/qLBBmqd8J09fAJ6QOy
iahTqOxiNB3tSIFkCXRFNLcuKTtvGTktdThZQNqZocyU/t4vvepspH2DlF27mCvQ1imJdEMsmuyl
2g0ZSRlDdsS3wInx59SIbLR1V62q2iLWNMy+rAgWuDaS8F4b5hYoS+qiZyliajjZOydMgnBfoK34
ZiBeonlI5smNwTLcf2ZzOWX3fiG7reqC6n1FBeOdO8d38y8skfZytEeneA8wOrlFJpm+pp3FNw8k
YUaulmg6I+uawxMgLuUxmF19N3VVxkfAxsZ02JcNq6kvMSuUbvjeon3o78KimSBfjw48cLQxHyfb
wUfolr1zBY0C1sfUuQ9gSUksErX5yet6Cwg4OkRYMysK/X5dIixHywVPpch3QvcQy0l5RiBPCm04
nlKvQ53W1yty0JRAJg43JLJw6tgNx6r2F3FgQsScFTBw3u/S0R5ZevFM04UZYKHidU4JnYNDs/S3
tlb6JoWyF+xMN1X+ASGE+jDN/oDqeKj5lKgB/M8g6OA+SQrwd62xVbx94AR1RE295JFXJiFylLLN
M5htQYHyinbJ3UqCZh+tnlKERo4I7Ha2KfP92s68JnWR0yEbkfAkbPX31Gc16Pee/LrBXZ59Vovx
eh7qjry6doSdhYdY83au27IhyOkCSdHc2lUiroOsKn1kQgkIpc5KQhhAmfiyVHl5ng3V36HVI4Yw
hxiHK0bXzBn8cIlzt4fS4E9Ovuz0tBR9VHXBkOx1lgcV629nV9eFJRb3MHiT+wTOQc0XOlelTTOg
kYD6lbQ2SFS6RBIhxqVBYWLufSKE2BSEAlcD3n9X7qVVYOF2524ipZDn80h9vsvsriU9nMnUu8me
aEPbokkuQSXtTy0qizQadfVsQzT41MHnirK8pveIohKhVDpyyVfdc2pMZkptNRuxQeVx22nsPT19
FwhA2jh1BTf1hv/z3w16aM6D2+L16Pzyhr6Af2UkZvBExzj3uQxS7wuxv/Z+dsz+/dgt4lT2AK6g
lwbTVq2ZEulMTYvH7/vgqodv7O3W0KBwknjrwW6IsXqPWzbfdTS3dh2XOkmKtqv3lC/Wdb00IA6K
yfqUJcv8CaqEFalem1gn3XIvg4pcObSFO8d1hseAcv9oOYn1pUGB/snkJS6EDb44JP+f8NwEtzND
/qMaB+66QL8gUB7ulDYX4pEGaErcB+tdmBrAGzoLuhTPA2I6ddDbu8BHnMKrb6ZWdB8Lmh27YGaj
0jbEgkVzZjVPRlA5D0WGNz6GCmmclKotRmEoLUvb/rpouv8dCaj0g7ovPKBKCfInwM/if2JH20j1
vnP6xnHfDQADWeX7INi0SV2L/xmRwLwUBIBibFB2885ZkNIsx0ng1RA7uzHnIYPOlsliPSHkXobH
JJ8n96tbO015VTSBHJw4AVE5kHc6us7UsXiVqFmYaaGPKEIr98wdwjtrpWwMTHJUu9LrzPmkl5ku
ZuSJGYYOscXBZ6+uBxaVVgHJqVjH3Mx0d9R56BR2BtGYKYIW+NsjcmTKeFRVC15obhpk7I6LFDRT
zTcT9Lnf7xhoItTb92paSnALa56WqIVUmmwicq5BIj6PaZGuZns/2sHAFia3Z6/rnppgSsZixyA2
YN+HZSifi0tRNL1udv3kAb/dm8oGtvRFl+toLRG/ZQOtT41DSRatKmNluEqwSULgpWO9fRLHS82w
OmbpPPrtR22kq4A/mAQlf4cW3vfma4AHbJivi6VPKg8QENkC4+FfxnO/GkQY/mGgDvHKMuREpofw
4depY22y5yhmFX41C1wkP6bewitdxk+dLVPUnlMwQj8wpdMJKDzEKaNUqZij9PFgQ6J7LL4Puv58
XL9Oezksnzk9dlUQqAwPmRX9eli5u2BNSnP/tWzUNmiBPLEJP2QJI4dqvGFc9i+Dyl9n8ts7YuPm
29i8w4x8f4fH0jQMBhO/xDf59o7jm6rGduuO0XzvZ45GBDeaBLHGWV4wrHw7Ff9Hc3ijOby8SiKx
8h601dfhZ5qDCz3/p4vjHziH+AWTPtunnAH+f1kOb6/6AXOwLOcvy8YRZG7OZhce/39gDoYlnL8c
E8kFN/d3Sx03wA+agyP+Mi1mywHjfXz5TPv/B+hgg4Cw+YV+YAaoNNBq/G+ADr8HWGDeJHwHERwS
GxPLkrNd7T/pfUikoVcMf+1STzbu7okndNTYSLHhiU7jvWe4JD/PY13uTbMcnofGGR8JiZnRlYV1
+/Gnb+/ubfD+MznB+vVKZ3OwKTfCbfCPewcu9rYk/HQ0Tr1szEQ9XkRbW5cUsiuIGr+h0UB6Fsro
cXL0sz8qECudDIYW2glp1BHCbd/hqe7Xr+EwgNoKs4yCu6qsRwQqcMAWz02+WejG539ZpMRveoXv
R4zzBsEQCjkz+B3R7uS0TBA2DhecESm5H/g7HkeHp9lh8JcGMN0yW9ABffbmq+9Rsi2laR8l9YFF
qwrqUDb3vQUZT0HvGfKGXZrMTGZ4nVsimW6K7K7UdLzZeBHLzEL51GftNV4Q0FbwLrwtrXSUxz+f
h3+eBtY40+dEeFwb2Lh+PQ0E5bKxUlV/wQAdPjVpAM7JKQWXhqpB9U1zFz6oxKo+/fltf11ZN12L
j7TFt3HTgyQQ9nZYP519mnCpo/q0vtTBal1QuusLwgK8A0n29Od32tbon3Qf398pxCi26cbwSm05
fz+/E5S8ZW3p+V8YIzsvWJ266ki0wCKiUmV7s0WEHdvmEkBBtd1J/ttFs4mofn17LhThguhwPFgq
v789Qpuc5ZxJ0pahjmVeuy9ltR0D9ot+z8akgVDHqT9OVTsxJCwb/xudDZwz4eLczB69idieCqYO
EL3kI91sYe+yYFm+KQNsr2kwDoldRoPdlWt7q/6X59Hv1PpNgMQjSVjIgbD48WT69eszPe3WrpsY
t5ZO5EtOQZ9GllEOtRPZC67k85Tl5RfE9syA1xZRMsUG+cTW6P89+OvaxAugfUrDYvyWI2V9Bfyc
+ec/n2K0ar9/y7gBuYjIGcKuzN25OeZ+upw8wtZNdOn2beGgXwyDHTD09bj5tMLDMEKFpIo170dJ
PAm0j8ynoVYfe9GpY+UoHOJVK98rqDRz5FdT+nEqQKMtPQWfclv1yPwu2CUobWPdFNCd6eKwZUuK
vr5MirS21mAvkKZWWEDTQsITizGTV8x5qveiSO9S5nZzVGm/vQA2/zAIadg7bwQ8buXg2nedo1fI
8FNQ3FSZGzwnJl3lzAusm5WyjLxUM6O65qLLT0bQsWmblmDdWZNr7NZi/qp6ZqQamS87Wjn4h6Rv
9QnKifjQZvB7jolvWHm0ZmXyJcSYR2u1bo3PWjLfV7SFT+jY1ckiR+iVIFnY3nRvyoc8TGY/Gqlp
z13SwfDle2CXIcJ3zDHmPbV0e7Cs2Rr3FZJHBokTJqZ4FFmyl8Q60K0N32UJA+wdcuzhikeNmKBp
MQUKBr/6NEszuxZdqB5cOmVHkJIEy6PWIFXHa7p9b84FscNlkB4Miv0XWv7T30izFGGzCCQ0+cVi
TA/zUDTcHNO0X9JRB4eOfPVdNdgwoflRxKtORzzMyGQfyHBRGPRroOn5jQvV2xmqJLYHo5Y0ksp9
uskc7yfbcigeCIkmKQf3zMEeyI0h18mfb0hcg/mHOLMdpAQ1vQ3hXrMkE2J97idj3poaYcdS3nwV
iywGG+bfoLUyL0M5oHWiadauR2RdQ4I+JkciUQiYcCZUh1Ox2PDYNOcAFDzzPho7GTPXXZ0kPA+H
qpzaPRyE1Iy7agBdlrVkkDZX5eJP2W6ZCXa+8frB5oqaEjJipljzLDx4RlYk70ZuHS+N20DRj7Bs
MA4HAua7MGIzQCuIsI3cA74YgrqPoMeTOdYQFCfjLIRIcpgqv5L7PqEqOLh1Ktc4IHhujWtRojaQ
WWdUyCiWtL+jS4dmu0nz4G9Ann5u7sxGkKPmBDq4uEwmk3Nt+4PvFnE99+26XPUmqxtDtBRq6D7p
x7U9hF1f54el8uRyZfa9VLEraEzE/uwu1ZHcpNyIOa3io6EkyG7a1KXc8T/TAMxoGqg0BqhvhZSh
PNldOFT7EkH3+1UPNkN/WnzWdTZlPZRaPxPZcEy6UdUPPIztMzsuUR604giAVVcbEtoiXCcOikVN
tzJA1wMFvFYdijFLnzuoXdUuTexUk181cjpzv9/4hzCZ1m9sfkOPuc7AzAv7MdhSy8ydK7YSpRcj
qmrtXd7kINF1ArePxoAK8SdOhROTqVesNEiK1bg2k8o5kM2HssHPQl/tLaAqzYlAggkUfuhk4A74
ucgCF1pz+aSIbWfi+daIOYrxuaOPsOCE4T4SFwtyPiK+AJSv/WGpJqEvngohw9bst29dXfNIStlT
8YKQ5r59wCxq1c9MaOrs3GKKmg/95K75NX714YPDNu0F5DuN2sDi4sU4g/5u33trzsGj7EenaGPU
j9my7nPMks/VNFFZFGkxPrCdnL6oLrOZ2EyQ2QPoT8yOg4Tf41YNdtm6G60LMzHbue8H1/pgDUw+
osnDkRsPmAznPdasAiw6o0VG/D691HdEGYRPtdluF2dRgODzK2Dkd8AvhyA224lzk001B9agBbGu
eYKFT2z6ubolq2S3C6wQeOLQh4m4KzrUPu9FANz7NDvFpG+HediKTyj+d6SYefDMJ8lbN826MrQQ
clgRrPjbh98OfWJ94rhoeF0ct+ZTACHnq8rKplzjsBy5dVSVljmpsP7GEYUU+5Lyd6ypYqizd63l
LPRgbEWg2CnDra5vAfzTz8xN3TK+RNdv75exRd/HvzNs5xOxgDC82erkoZZPjHPCMwruPIiwY5Zc
F0zFX6aa2QQzlmJ5bw+z2V+nlLnFdaPQFT8EPC2OfW1alzZM22foIF67Wf5ycW6CNNTX4F/opS0E
tjB0RTh+VIKvdZMULF/LqnTvZt3Tbm6hR5UfJ0+m/RVjXPk3drNtDclbmJjsAwJ7n6OS6w8KxM5H
g4glMjNUSlvbYZlbuikDQD3018zKCnfnik7gg6lch8dRJsKnDsxQuq9EzW2yGokdnpy6sdpvkgV5
OQcWl9QeBQ7XSOEy+DkwChr3PGSm9trqtPDiJKyGkSetPZqU3m3xuQuRNxoLZfp5DYfOekVut/RA
5ix/RM0j+FWztDaR1oRa+QS8nemsQSMJWzeA1dt58RlyjH0bBX5/5UiaLVfrtIkvmZP361GBo21u
a292boyBQcI+A5A+Xqf4krM4cHuZfaAS6V9NdLUoMP28H6My6yfa19MYtDwFlvahQniQf7Ka1Q7G
CJFQuTyqAY0Hvwxh0j7DFZ6ejURNX7LUNEa8oL1XnnLU3vdzbyTrsWO2n+/zVXOR5mIo7Lu5rFb3
Ij0yV2hsjaZ361gZysiF6qbfT+gdkAoHNYhiGqCStaPvq70123O3GyuEQscVSz+H6sypv1sShiNx
ohjXf6Sla30oso2jypMufOJal/1dTTg6C6xQIW44AK7QFPQzducpsKKyHP1HF4XBtJvQXDtIwCqg
DG0CpomHO1f0XgH6bQ9sHJb5JreHsrnxO5XZd6hlKu8Ee4A5WE48S3pbdgZIcNkzdoyoxvRwW1UJ
x9/hLzz0WVBmyHFN87S0Dvf94iGrBvmS+bffq9L/66T8SyeF6L/gj62U26YeXupf+ig/XvOfRorp
/GUKe9tps82l8KCcf6NiGtDJ/jKd0DRhF2yNMiH+20gJyWaHcMe6tDm44Ff+TyPFcf6Cp4ahC/U/
6ZTgXf83jRTnexzkz5s61zPZy/FfG7Qfc5vfNs0KR5IA6J+98xV27LhCTY8IC7d87LZeuVz5TWnX
B42qb9st2Oo2hSsfV3mavWJgJHrGT6WAAW1m7XzKUFQii8Dz9XXtRLiXdR6QEUXUzw2sm676mK+E
dzeQrV4LO53DyNLlrCMTjtyyk8Y42kdg+82jD/WFuBbEb+N5tvNuuu2UV+/RfMwwaES1YDT2ylvc
tE7MZo6w7sW4MfWiuDOoDWOrqFcUl0v3edSi2wuRVSdnnM0lXooAur5raipEdFmHkF26gK9SuxmC
nSy/rUYmeJodzpXR6e40NpI07i6v5/uxNY6i0GLXiPDjVM8IDY2K/E6ZNttRLWvxcXZ7hWTOVv+P
vTPbjRtJ2/StDOacPxjcOZgZYDJTqUztlmTZ8gkhyzb3nQxG8OrnCdndZcvdMuo/7oMqQFI6SQZj
+ZZ32VF2v8ioyg8Hg2gVQOZKpEd3c1sVdO5ChLonhOOJcp22GsYtu3+5ig1vnlG211nc5DRizxAZ
IxrtsEQ5X5Dae2ZE9Dn0rgL8Jr219QixeLS883BAhcS0gjedtwTQzoeICvmJg9n0ZVt4Ve5Vh7DS
yBk1+8C4rojtAux8cg9FrrK2V9ux7OQcnuPMgdLJuhUj4mmKjbOciwyQSkp4Io+iBmwkz1FqKHKc
y5VAeK88phFSFt0OQIH3KF1H3I5AtW+qHpzMl7gJu+JbXIjxGwG5s7hXeKv7tbgL60TsgykPAc7T
lgw/4v80e5seAsQFgMTyLGhmgoQQtbJsq4EiHlFYaFwgjuU70rDh5EXNGDHg5XrU6GLZeU5SVKmy
3VGMw23DEeIsKpCexk8MxxEwRqclNgki79TtFMw0aIEXOLscEnuzrfopPYtI5wC5UKEgrqWbfLAb
W04naO6AJlL2sF/jdXxqna56dmi0uPsYUL6/gVwM7jtKAKKkUzG4sEpicTaSbm08N62wFcAc7uA1
8yfAMwiiIybh31iMoI8yd5d+Sgfg5mnhEToo3zolx2l2IZe7rAKXPHUV6l3TTuI0W8qouEbtOdzU
fbTMm9Kxy3NHpIQwizNKFAFBrkiAMVfoKBXORk2VB2q6WM8A5NibtbA1NJzsiXvk1LJrsUc94CrI
8ADbzV5wAfoGTVFVJp+yAaNXjFrAuRSud1L2ZXM2i7B7j7D+ld+E/jszs6/p8tgU99zmJOjF5VoA
ZszybtpGbufvo7xzBkags7/hP2ZftxQGP9LDWc9piC0XrSyrw1iRo+s8SE+LQhp9mTHZJD3hA3o2
uIMG1OtSD5uMAOGli6gMH6A7XTdu0W9DKwku6Az5F13eWwesCJYPft8u6J4hZHSBvoHzWGMjhnmZ
Xltyycp2bwPHm09EM7rfrDDK6u3EaOzLtZiO81Q9Q+2Kt0OejBHKILpHkEIG3l3nLirbOqFsn71I
p/eo+6SAHcvB/zzVOI808Yg219pZxyrCHsAFJbLpZ2xLkEhtMbyi8RoVBUhJSS7gotNwQIoGlFfX
yGgzI0awh5glmOjzRD5CEfl+ArKyrRife8rVGG4V7W3k6AvEgyyABEl8oDqCHFLk9uEZaA8UX9BV
iL6ooMlu4irKDzJpmy8krTFIMHQ8Nl1NLR/UoWcMJMQxCYrbqR6io3aNVg+z+05YbVdvxKKdQwwe
izb8+j6yC0E+7oObDMM+v6KlzM4+2+6ntkqRochma6cW4RU7hRjsow8OYeeKbr1tsVbbeuGwfCDw
wwjCLdpLp+pAIchQPeOXIMl43OlbWi7WtvR7PO4qqGwKrOFHp1nr61Xk8bVU0XqjG7/diyqdbpxh
6M4Tut53oRjWcjuipYY4Fxy3kxGq51PUzcPOU3N7i4FQOyGQlrnbrJitDWSP9BuQOvvQyCZ8dPHH
otbE1EIOYKm22aQlhZwUOHbTsvNHy2BtwkgGl06/pltWpLv3UuG8T+FdnUeLn521KL3c9ALQ5tTb
kpGNM/0Vt77pDmElcCv4vma70dYVKQcclm2i+mAjhHSO0Kb0vAXV9bWuc5f4k96A64NlUEVXbC23
Hy7Wpl3eVaGFW10ZX/bS8dGX13mWHN3AKi8zW/Q7VBEKLA+kc1+MVXcZdpG+Qy5jVBsryOJbINPT
QUaTOrYqyT1Qit6ylVluX1MhKD/Ucdt/SMGC3zRzlTx0ZZKfz6pXpJTR+l4MnjbezwWWuVKjrzH1
Gztoxmzn8bQthiSOPR3xlQDamgJ4R4TM1qjfjM3Oyn18c3ySgh65wZt+RMAKIcmkPWsWy5u2dbno
c6QtwQ3mA65QUeu5jOO0fPRU6CMfkwWnNKslFiR9sp6JXATPDt8PejbBoC6dSFWCwo4/6NUfD7a3
ctBHyApWmzEd832Ql8FFmHfdPfZ/IDAshKzgCyRgjHfRoi5guAz7sfOw+/lPcNxM+aT/FByjpEkH
4t/Lxl99Xf7HIxyKn7uMzvd/9CM6Rv498iFehJEngH+CwfhndBzG/xUGNv4idHNeYmDi8H+0GX3a
jPQk2bZC2hCBEY2DtDpl/+d/evZ/eRBjjZChbbzl+cL/+7+f1f9Kv7Y/Gnnjq59/buy96uwAtALT
ENK3NC0+tAxescoFrrXSttP2CFAZMZSySf1rd8AVC9W2aPfT0PyLJmLwa9n/5Vp0RW3GIvagf5u2
wE9lfznS/kCZojmGYIKuVqnFVTG78YNmBC76/u9aY5vr0ax0yErIPGKqQ79eb7DQyu8im+vVgKM3
i4129aZQdLAmZWyfpiRwT0DjCdTncuf+7Yd91akzF6dvhtQ85GXaWK+Z2b1lj9jJDA074jR9qSuc
QmF2yehCi1XdKizfqfrYf3ID/xdD7DNadK+oWKLixbT5eYinkfBsicL6ONTCWERl0xdwGNQQ4hzL
qNTWf/uCgWCScjlkZzHsfa2CTBVXgUQc4kNmJe15SNl6pzHuA/bkWp8QvQoe3x7W141ojwVENhmB
8KNyHJPO/fqEehT2miaGsNqqHh+RIKGauK4cU+AEPbo5oCYFUDNcC9GHELe99JsHGgzhss1oCjSG
0RbeTtpx5s0g/RkmXpeNF0LF6qN2oj/MAkRfuJ+fkk9zv+QRrH2Pt8lif3W/TY2EcVFP84E2WOrd
W7XjJ+djWuHEm7Y490A8F8sZZD5dGSoW5VPWoL61wMAdYL4HwdmLXVkN4P8pdZFy2WCmw1xCRhsd
3DUSV7CP6+xM2g4FoJdSLF6ZjAMNTGruszPiamMNOQVZ7azRvvOVuAIoZw0nc2i35zg7qFsxBeom
oYtUbVZ63/7nSLodHirISUkKvj1VRyro6iZglwh2aE2U8aGwpYXXfBYjymHAyschKZCOBURHk7rF
cScT4iuzVFGREsR46nLyYum9U41eLho7o08Q+DTmJMb2lJrNRkC3jHWqsKa6sZYJA6ayhz6piJcf
58LpHtfBdo8BUlkUSKXsHqPalTc0HlArj/uV7UuBAz8pxOA/QYxTtzRuqWLXMuke3WxSt1ZviXt/
MhZwa05FPKaGdWx0rB4D8IDzlkoEudqY+Op29gaetCs94sBq5IJU+3Bagw1At4wY6amaGcdolYzb
4In7OealUWGLH7BH9Z9wnlW3eTrGJ7ANfXev25y6dqwoC29GBNBuv8/VrEgpBGduTs06N3ZHGMqA
oPB8HtbRyP6ejgsq3QAbAZ+dxVi71UcEmPp6Au0WR/PJBCH7QwbN4iHq2E93xPvUP2sspHBQaALv
qR2j7jFLQROnJJ4XsR5MgQ9exQYjJWYG2jnW1oOXeD4AMUTWr2vVzUyZAZe+AHUfQPQjLnqKJs32
e81bIiafYn4sMOukYIJVTmeedQG1SZDZUg0w4++pyadMEHlwC0JAw5GVjdseyfarl88APm62tbYL
9o01O1g86zus3OVuSeN4T+2TCUzSDqVsKrGPhV+cJOeAju1uK8cFrYVeRfEtSAlBNgpJnibjVBHP
X03QN2kmRjXqbHcUVDCTxZNVJXJPx0lvEtcy6WuVC/u4iCmUCjU+i57JSFfJOtX2XCy7Hs3x5BZo
pF9tMhhj+Dxl9AEvHGSZHmm8L18kBEa5XcgV85tFW87yYWT4M+rxjaRRjSL0Bg9g7BYjSWiHrxCh
mvQZ5/G+c5MMcTrM1JImxvXRxXTb1JXQy/P2kAzcKx+9ha2UyyGJtTrHKVDdB4gKbrMuAYuMWCVd
CvpSoMvEx9F2+l2HruxmAs5yTXA83S7UmPHtS6T/aUIDzWN+jQtWLXGuziUKFAcvalN8omzqMhu7
Xa+iYU6/UG4WVwGA2TMMtoKrzm5iED6rh8Fns9S8cGWBcl9hYZ4ac/YvcQ4CdAcnL813TO74zMOp
utnB90GQAzhJ8uBiJ4UgnOW9x8ABi8mhf2oEBNOiQsjk0C8uW7YIXSYdhA6mlC798Usm+GHDvqxu
OeaYy07SZPkhsBJO6XXIT+nzd4++mOKHWmcwUcI0qk1kLdXtqjJ8nCH4XHWe6B71aGCRyDw/KToi
D4UfsGG2TnlfQGj5UAyoPqMY5iMWboPhzEPXPUZdDJssjhN4L0vU3gcAnNccW7mRx0j3wsUN/YyG
KhH6OnbiUz1Y1npcgflFRxfgsbtsRTeSBcNYoL7juO7nNZV+cALR5+wvEu6AdRo1pfge29f+v0PE
RWc3vKOwWoYwBZej786W3LnQKbY/M3Ibp7lWs6Pm/eo5KP3/Ss31tNNDGKw8/wc1twkt7zP8ZT7f
cWIN79FjdUAhREs+IGnaJe1+jdq82jhpOXsg9Evroq7ymaGrk26zkuV/xH26PeReE+Fo69q7glV1
GoqOdB+n5fERWWFikW7y8cek87ktheS1Iuc6nOQVqOoTCLDpcDVEoyZ3L6IrFFA4FiA0gtutApou
FfZdfkLesymDlUljEHK3I42xHbpfZirNaZPt0qwVVzgksJf2AUJ2myLmeyRc2dNgyuKLceHVbCtk
yQH9zwX3FOILvck7j19kJUWxjXLT+CKoOjRcUgcsUAV98aBBdNVb6afjeIoeQ3QBlRvPDTRMgCBw
mNRbcIHqBvgza4keFh7dmnO8Hbiwm6ze06oLNvyXLTDMMBQ9QTbOTP3FrrIbfJHgHMB58i6WebZp
ifo0bIbJGr80LqRc8AADJ7+z9v5TWHE+jsBNaZ1gd05jpKfGAJzCD4kYNCnK6ffbEti2YHOe4X95
llgWx1eI8sV5Xw3DQWowY5Mk9q2pbZyItaIn5ywOyTBFpdpTl2h34rxnD3H7uDh9l107vuSu87rj
WRe5cslmyHV4C5CnGjktApQwa5Rp0x7HwCWyJUqzqfKCs7mEq7+FeajvEqv1H4NMsLHqwSoulm5Q
CNb8SzK2t7oRvUekzO+q1rLPujmzvqHaHkOBX0BecM9EOS/dZEctTIuoGjjJ+3gS95AQOJ7SQYGG
GGAbG2/E3IwogHikPXwS/+3cReD18JWdmrvEvNGCcuDTOtemJw49+gpFW7KGyVltKOXUvg2dM/IT
+0FYGkQ/40RoeQe625rvZKAo923zJUuz6LYqkdvlqOqgY8O5SXsNVqLMrVRAPiZaTk+xAAErIAg3
KhsJ9BwRhHKbVHW+Q5ePCloAFRpyHTFI6GT2WQlL5QqylgSUmGHCg1jFTtFHOatwM77k9fe3La7B
x1Jm1kfMJvF+hHMM4CPj6MEv4JDSz4WiHlr7al58ngNj+Qa7uw2IQ/iXY4JRr/sOB/R85w7pvBd2
Ct4JE4vNoFR/bFG/pQBcidsGfRqc79gkNpCXcrRviUimoC6/oTJLYVS2ySFeW7p4Uy9hF7eAXNgV
vjUDNsCVvo6VtxyZ1wQGc29fY81tX/u1ljtp19tg1PVBzT5KTLBF7xQ8tn3BIbor+gxKJ3J3nk3P
UTlz8463zbncqOqMk68+9eqS0pblUqCtg5M0ri5nILEbl6G6tnWXvu+sYH4cWse9amVt4EipTQCp
+tMqrpAalbBpxC2RH2QdKnHfqGP6Zy4cqjyHHBQXMHQbODVJdLCK9SvdI16IBwwftI2PDAcqcHaF
5KMG67e1OIHHjZ6l2UHwesUTNJvZDUFBnc+9Yx1h+Pfd5VhWTNI6Y7fJg4EZucqEd58oKoY3usT5
aisJu3dvp1Em6/glK4nIS0LXp7AgKEG8TvtXNGhiTrzu0PkvQT+NI2czmMD37ev8lv1E+NJRqBA+
aT/6YSZf/SnlR75mmot26g4VntM5iOFQ3PejgSF5SrTngeHbnr1sh29f9xXCEMUwHtA2PkNkprAV
XmVdpOQVRVnsgVVRBU+ThaVAPSpQMQv2WsNJWzf6Nggy9mLqj0S5b1/doCxfjS7NULJiFjg38Zof
oUf8ZhdY8wf02klA0I5w7iOz6xYvoKMppX2DTtdAWmIib4xU2NxfbuE/7ew/VOxoh1Li+vcFu/+H
yVD7azf7+z/5ZzObvjTYf2TrQ+CDaG3+s1wnIAxQyAlsIJIOwnsBf/pRrnNDmtn8q++4fwgF3MOP
cp2L/SPKbFBXQRNTtIv+TrXOcV5NLeg6LFtBUcmxuR+wgL8uqLqHo6bKYEGivUN9jfNumerKOCrj
Dgs0SEZ4HhV9OK3zaYkGeW1/ID2Ca1SCbxrvndqb1mFjyCzOSTUg5bUU21DioBTd5QEczGDazkWT
CyBPi0JUwcO3q4bIHOtDYS2LBTUWhdNaHmE21yMb3ArncOoum0oTJkuZR+Bgoq4hSCvUWWvV0j7S
SdWX2kuS+8LtO0TTgo/kEvJ0aWVorCPiHRyn7qKoCcNxt56xWfVL5z4L8rXZ5pzzBuRmEGE4w8Qn
JEokHtWwUmQIKlLPFWL6k905xnN1GuUlXnAscfCCNBAHaQA0Mdt8ddooWZ0qiaXQDgR2fgTy1IdX
cTzJYjtqOz9Fzwp8d9Dp6XQaSjkTHONfkdUezrfJsOyLdQiJFK2GLzbG6zi9ykQSEiXN47Rocbtg
zyhP26nAcmEcJYclYiY0nlO9bsayHnaF38uPNLT1Q7K2+PgOad+pI+mJMkRqnweFBD87H3EA7DF7
EBXJZDAgy1LKkyDterEZxXCx4FhhRNXQyGOSsnXk5eIfKYSFDzEm3BfOCww2f4HEZi/wWGmQstj3
AJoF8XDivABpXYOpDV7gtbKYQvSSDejWfwHgYlAIGBdkMwYkQHIPCAdnO3RGgO06BsG7GCwvRC9g
vdoxEF90ITqfnjrIX6oU9tOKJOy+9FmNe7ov9LIB9j/h7xs7+3iowRCzOd+JZsjOsdKoPrYGa5zY
Uizbzkon/F/ARe2cIbxGupuKi0EqwwrAr4CmPwBm+wXMnKZVv9cyVQCqhvha+aCee4N/ng0SmsoU
oOjW4KODyiXY9LO5+mKDKz2a5vFxMphqvF6TT6wGgNY4VMSfE4ADUEHGiWZtOvXOfUKGc1yGOtwj
xQFoO26S8Q727rNtEN3SYLtxAgTmzQrIj20IHnurX4DgqcGE1wG296XBiaPa6pwSi9Ea9ccVuIRv
MOXjC7x8BGiOTt1w1Uf2+hnERbIDH6of5ryrD8kLSN2ybADrncGuS4Ni1yAyrnofS4vN9AJzd2Se
bH2DfRdZ0r4P0h4TeSumwAX//8PUG1E1GMDVbemBoR9XJL5QpTmdWoQ0B1zs5w2K6fY7P+vBj79A
8VtMjfFe4wxLzl/0D2Z/6q7BicV7bEyrrwDE9LGPMWVURlZVkqttmmR6LgDPgqNdlq1PZ+pgXDOQ
R3Ge1KI/oNvub5syjdUulg7Yhx1EWt4j2Ng+6+bgZgH+Bhxzg2z7rIf/nIrf2W1/OhU5nN48Fasn
XLh+bmKJl3/xj0PRiTE+dqBLwQEyYQ3h1l++x/QnBdQw34FpFfzVwjK+xx4rx4PKg+CvMK2BH2ei
byyRbRikIJPhkzmu93cOxVf4LnM7MF585HYx9YKw9/pMjEKpayJv72uGGX3xrarXhNrDsuCqi8bO
VDj6ocBCYtqP2q0gkY9IOD+rpOKUEq3f9s6+s4yIRYlKZ8shEicmJ4qqMlPvBxuwmN4OXhesAVRb
9kBri+JAjzG3W4G8ABpezLQgKHl1qFekdmct74l6OYJQXE1xN/TQB0HlZJ2JH07dMSUH3qi8MIL1
1aKsKNk3ElHGfKvHLMFl8acXefM96vy5wfdKydq0ZVDRhUfIf76h3byKGNoxgNIxrv7XjloyNVpk
olAU2Aye65aXcQrzHeVQkTf1N9KZXN/jHGYMLB0k5nieBvC6ev/2LTm/sqy4pTCMhR96NDjBtcSv
4+OwcBS2W0P6RVAKBOPmQao+Wz3KvjmAsyBHBK9G/FcUAGuRQEHyQnUlrBC7wwwNdTljLBfOvlWc
VTZdxexkTdJ13q2V4lWcTNOarQ/ZEGBOgztFiRH1upaCj9WxN/o98m0jMlPft5ZfGqs/j/OvGZUH
BsjMwTiOiPdjiu/Or4EZMC1A/GXVfLUXGOZ3qDxZ7W1dJe168/bo/RoBmgvRrDU5jU+UFnG9Xy+k
q7qP10AlXwzJCpW0rkpKcC+OzQoHSF1418vYGltpqJUVRnId2uzyFsVr/OnevpNfe8cvdwKg0iR3
VGJxQn2VZAk31ZBfiuCLHKMhuPI7XcDBGuBLhe5ZCrvA/5NL82+DDCmObrrvhqBJGYVXz26J1EJA
LXSfq7kfMK/qNbQ6jMmi1fghvf10Zl38lcSZp2Pj8nCtZcJH7m+2bU7eVGWX+84XJcBeeF9htlCu
PSbdzLyjdWeGuNLBjOfj2xf+/SGZQ2QZ5OWRz6b7qk2OgRT91KIcnyHvz9G6KUIDrk4cK2d0377U
K76geUhgBA4kZyiPbN72qwEtiCRL9KXrLyN14Do80AJs3lfUSXscXTDWSrtrFa+JXV+0+dAYpyGZ
4fNajEBpMXav2BATdDyTOn5XFDCZaTbIxqkuSpkOkT7Mi4cP6eHtm/7txfgmkYJmzduxIcG+2tBE
DEFG0eJ8bvQ0cBd4T5UYuUIixsesrYPWRWYIAu+ffDHF7y8GS92Asjp2E3hIvt62EkvYqht86zN0
LeHQPEBmZ0ZWCCAqtE/hVhDfDiyTMnxC/5bMftcPA6y5LQ53jrzPsT+CJoLP4jp9ThtRxKDlAgfA
EP06IHl/GKXo9fLkBumVm2USA3sWr9+tn1JXreeh/ZxFOTINyNjqab0ZkdRkUq3aTrU8jUdSvitc
0nJW00hZj8OgCbRms4xLL9XPTMC6+BaMptbC8UcRlY6tgCD67fsGjMw1u4uvUIb/ONK7wwwUW8mS
mSqraeTtNMMUcAw3rpC8kaxOzBZtjZi4650DGS56B9twUo+rNiEEWm2rgSc6lGHZ5O01N6ZHjkfZ
eMGsGuW4mw4Acf01WGbQUxusWsb1huUf+x+bvGFqDliXco+iK+IGRS0knD6i9tIVzQlQRAyP18kN
5b0cjO/nWPAbjLLQpmNIsixoeWdOppCp29QuTFkNy7gziu342BibYNKUAskpjUIMOtDjgh4v+u0i
N2LdOZYndXDqS5VN7ya0kzjMdK+Ml+eIEwf2oUUac+l/mP24i7maleouuHKRPuwf+yj3jeKH7MFo
00NBPAXEW3OeoUQyn81oRDKXFHqUDF0uc+xTI/IJDks7mcyZiT+Iw2rron5Cm6T1mg4Lox8P4BfT
i8N3iKBHsbPtxNjV+XbD9BtVajaxH15S8FOMPXcedtAit6PxwfvHd/RdD2rAzVGMhgnjYBClNm62
+ozB7ObIsx9Ul7E5apQLgivclc2oeiUNXHfjA1/kA8syZeVZUw0zmbXIYuNe5VoGQK070DjZptNh
z+Ox0Zvp0sYTp5YL55VJUwDrrG+byW9DZJxc10wXtDod1pRE051Zk2KNxTtzlc0XohECkHgP/62M
3DMLnrN+7mH7MIatkgXX99kYRXIXVVhHFLs1nKNqATvaSAqC6dqY2K0QyuVvOiBa5CGKmF73ZQ+u
pcE/EHlg7jgk8eLuaP69WJfDNOBOBrq5PFoKhNWVZzFqWXxLC0CVpTAXAL4K3jztZ+Iwp524Jc3T
88tlpk9ToICERE+wDVD61M866rF62bkrTImDDCKX2wNxHZm4LZE0l69Go4nyMZ89ftjGrjZiPIUX
mzHu0YEtvs1qoYFNITI0c64iBCQtAwTF+KR2YKaoCa3lfRc1/L8XUcUCDouJvYHQcSXK8JacdQ7r
ajWbh6HGPYH2GMySxqaTLx0QzOBN+CNxI8JZnXDlfZiXWBeckLd3oz5QYx6L+tJosfGF/WDKwNuV
WMzMajeHrA7eIl4xp1dRhaDUrrDv4wy/R7kTqG6YnSmrMpjGgW3tfXRLO6QcSp169o65TScqBR6w
3vhaK6Z/NKJi4Z1QOIJpRqCA9iYtOV+Wwyazp6q3twG61fk15p8AojfE6uYNN7kEQIxaTzhK65iP
dpVrGHj91I5bVY2jtSCiOtKyQf6Zss5z70V56z81IxaCaIEja5S2d3HdJx5Sx2Mbq2gbkA0v1Qkb
MdvNyeSmBTpXaTe3cbyZidsVfnEOXclD4iI3kFLlKtlmYZdQX8B5ic1W88xIAJdrjjdsprIsvQDn
D1odHFs8msmTY7/ATKQIhV1ziSIyP9m4qTOHEiiqZXreru3K33oH+AbYOx9zvIexbxilHYwHAW5H
2ZaY+yukicDe7oumn3lLDSRyzoJW1wvfFQOPZZBmBp+Za+c45cm9PXULnySF6fnbNCRmXyptWat3
8VSYiJD2eMr21HkqYPymDEHIK8koshYgUI5MKNkPrm6PvH3jEw4InZkeVdQo0vNMWSD3t56g2tnt
2S45jiQ9N055RJ86Vl5E4YRBmKbZeGGrwM9buOPUZNgfdJRZ3jWsGCxJkTmtAR50MC55pKgd2gED
GseEWFjrlPq5jnqykR95CLu+GZwFufAWy3s4N318AkNoca0jPs0rctBUg9NdD7EmOfGQqe/vkl4Z
T+uWw1+fSL2E3HFYLBaj1GLdy8IuZjSQ/EOUz2YEf0zrOl/M37SHQpGzRY/PBM5Ba5ntfkSxazW9
RpsxdqlyDcuGSDS1WZ9WmrNyvSihYA2fCfbClZOz7e7GuKRrvAlXobGBa5ZquLNrVd3H1Jv/6S9M
tVeWCEDIuXv+3WQY6nTef8rZcyng/Rt/YTTSKpsaUzUBI0ONo6MM/Uev4YpjFVHlSYptzzv6g9ew
R//cwQV1sPT0iBzP/E/H4QI6oKIwXDmaVuQbxsMx3oIwWxJnXdrz7/bDgIouF6hs3f5nC+K0cNAa
z8NgCs9GUOzRxvV+MyKGlB4aXe7QwYDhDTtirOREQ080xFp8myWub918tyZG8Gso2lO7C3XXn/zu
UOxZ3rg+TA2zegPM4S+f4gq1cRQwUGlMV7Whsd4Fu/i/Y1pc+C4SG3PYteHGcUd/sk//hnVxG5Wz
0+6Ej6sqiqkurNb0anB4mOLmR/QNLyAJqIanNeyFzdJCaQcZULt1579ftN913q5LlgHd0xboMTEK
uvI4eMMAXVgwmOiZWBM/o4IIanCp2HOsxGwkLO4+MuHjwAHOcsiQn2ZrqH3bRJg5oC2R7AvY8ikY
FRdOWXS+guUiJKWoKTl6fMTnOGWmxk+d9VSHcPAwkfRbE6egGmIyh7AQBkioPVlX8enc13nw0W9G
zGtPESkPy/gUa09qDR0ccbZJfxyJ7CM45p1z6jk+UTBQDhNFx/CF2cuKCC2gxfA6koUzvB59+wRF
52B1D7hdVoREjUPGbx3rubZ5UOISJAyMa8dgNsS6cjijFwC/hCaLjicGCAlMc3JG/aK40wE9Bq49
h2vYrnfS83v+hlij4suM7zrbzOi3eF2dwqkz+2Tphaat4VDt5o4aOMBieIoHTJPy0xgp6fXBmeYh
+LxgVtjuAwchmwvUjiTH4tR1JpZqutCELFlM5ymmgNwEk/g2WyN0jh0GCGg70qZoqBtswi6B5LKJ
7cFn+NnDjZ9R+1LuCcbanFI/TjCAl4xjif4+O1oQo2PUgHZJLAayS70ibk91DgroWzVbDCzbTGHu
YMbPmunzj5FYe0y+wc/APKY+1GR8Y1uDSvB2pWg05DUCIjMVc1in5Cy1SvyPFWqUJV5F5jVyYArx
QPo3T/dRnyie2C0awTuaRwnS8KpJS7lkNyuyykn8KEvUMcoDiqtpvRw9wlF5v4YI/WWgUjpTfBoG
uv/ZESydCSrsCaCRIbJpk8hHCKUHH2vqdUKBGEGnedqh5ESUkuKwxHEp2w59koPdpaOMbtYpc9r8
IkgwuwCHtHpmHbjIDfGoEoEKeQ9+yiwRnKxMwaspej6QSLQVnwpRkRrnvTATzE1wrHZOeyfEScGA
pszpmkmZcmjO7UKgahheRIGofZh4c4Jeh09WVRRE1jYjUHxL1rDhB35vPk1UMqw3SxWFHJcCQhJn
GJo9JjQsMX0xwbzbmbv9vjzKyWeowZ+0vNRhVO5UY67lyvQTapwpZFIfMwNaY3XPXKi2uSYmKPbe
4Jm5WzVO3FzWi0jltEsxOUfagy/AcmRXLVg35VuAcDXXataBR7A7mZtiBeTggnZDS8qXhiDhn+SA
s2tNT27uJjYXvXh494AHLRvMOBzmWQ2Rk5EtOp+MjWaTeSGjFxNeknjynpHjXvW5uzjkTwF6q0qe
KgcJjSeZCdBO2+R75AMwTRJrjG0EggqpTijtGoz2S0YcrQ2tx72CvEn21aS9y08pOQsUegtnnWdX
zv16Y1vwM7Z0+TLSEdwGMAs9REHnzvfBWoH721oLdLEbK4tN0g3RxERhgxImyQ/jwQTyadcyP5Ix
SXlrU01BF+umyEItJQcB3xCj4Bm0PjDqZsddRU/Oe+zDrlmA7Mqa6RQgA8UXDclqtsqOPTk4dKGP
oucJgtNM/YPAGohUBVdk/fx96TWyMqEVbOsYpy8DTxv73SRxdGJi4A3FbaIH8SKcgXzb0lzbnlIN
ChDpajJuP7YmBhJOsFniICvT7jIISo/gVS9FeppkjZrfBSpc8XMCi10dIhSiECWbgTF6KUkgotrh
PkDNga+JvWlgryr6xkSiDqxk9pnle9aoSrQ9smNfSIRQLgn4Z8C1VK6c6gQ1WpMFfk8sqmQ1N93i
M6xR6OnRjOvAHq9kvB6qwEx0kiSb2b9kTcMrpYlubh2tFU7CEwXcb5pOIAd6JXw2iiN8cNXMKAiM
ZsOaeI201xU+1fmLEcC40hnI3KZ8cltlMnT9feeIkRBhDOG0mFn5dtXoX9SMImqCKEtB5vfF6wJr
RCsaIepq+aySyeSZIMkQudphGNNXWHjPA8/7h0u+rqpRpkIl1gey4xma1GvKisYmLbKnYPrs45DM
Dv99alSRZSq7bz/d75dCH40YFySGQ/HcflVZdcDBwzpy2894cpj9qQ08VxIUslmzd719rZdq4M/1
Y0HpOBRwG0NQGr93pUbERCojq/tZuTXaAuco30IF2/qTl7EMkdswrswrkvPl09x4PnokcGr7qNp2
k0PeTRXCdDZiUl6z93zfmX/0PhqEyk2IFPojZ0IY9As/vX37vw2VS1kYcTaB9qQQYJl+7TKoIamn
FOHcJ8yBFPfBAWXSQg5XUqi3L/XbnHMpDINrAS1FXTV6Xe8mjModMCHdU5xFQBQOiY6K5UGsoVki
QZLC2fzDw71uoQheTPii+kk3wXGcV/Ng6Ec3SqnfP3VeZvaoSeVUEeecnf02dWJzZiVxkLLjzZqf
v1ZQzIZrdrvaP7797K+Hma6pDzTOdFVZbmDkfh3mpZkU5I3U/URNgtRRZ1ifP0dNaNL5t6/0epQd
37V5WigRXI3i2KuqeUlgGLmiEJ9mjDXLy6mrTGoOSMTlkM8cEzW+fcFfoX80TZAMpexMkxfUE0HT
qxk0FShnRAv6FAN8JmYQlmRmm2NT1LzXZOgrJSDTpzqLt2HpZ5yMb9/AC7Xq5xVIqAXG23YhZUE5
9F3n18HVXgpWpAubT31m67Q5oZe1lidUPf4/e2e2HDeSbdlf6R9AGgbHZNbWD0CMDAbnQeQLTBRJ
zHDMg3/9XVDmrS4xrylvW/djP5WppGQwMLj7OWfvtRM/IyNiPbaMbbIejR0h1vX7r6a4Zvdry6t0
eqwQR0Ah68UpM3tt8dD6X3iLpfAtqgVVeBVbAvn20gP3D6DOQ0Vu5D2rNaj0dbNEYy2RwCYRmtUE
Djoz9GzTuwPNI2Nq4X9xfKNFt0UClJr9MWW0jKREEuLIxyCwWo9dGhBlqpiVycQ9c+qUs40Lt48f
X6Mi5Ndy/2zQdxztWTWJgVwPTUQ9/TzxmbglamIYYJTTteniieuPKa2lM2mOM9aLU1LltGV/f/n/
9sDheCOw2cbsiSP2b4/2QGWRaLpaXmTS4I04xHW/lkC+wqTIzOjPlvXvP3J9W3654Sy1JIcwowEe
isD1yzPOoAxJd+dNL37srD3GIfWd/GwDi861K73T+Q0CUSA5rnezEa2HQg0RG//n73+Nr98cjp3Q
WTkdn6/N4P3LUK1ymmriXiYvuaT9eZGWbV8+mvlEcI7Z9f8QC/51BVnjoFEEelgwV7SN/eUhd9Bo
p7DGutexgS73ZGfu+lhkWb2erH7/vcwvrzQ/Hbqo8PAkM3mzoH//+kLFcJiKohrNR5w9OC4i2pd9
vItpo1LppoDXeBcYeJf8j0vDhudytrH1UazZrRfUtHVpwVDyrPP7muhHzqGGEutBPY2pUBKXReBH
Al51bWvN2toG8HpH8hKOnrO2ifOS6cjDqGGEqAIN3jiQvhioAMvKWK7rNQUBQIojEQnpUuwqqcfi
T07Uf3fOzzUggRx1pMkEEsrq12tgw7vyCV6aH7EIrDszOv71ldMmSeX8++ttfXme13vK4oVGGy8v
ff2vz/Mka3qqhogePCF/ftZg0zrNx2Y96g8s9SxBf87eC0Q6XIVqrtYu6V9/Qvy4dggQsnNxbeGu
/UxqwZqVzoS3RUdBy+FHqMuOV5VYO8Rm+bRfYNLz7uTQLCkaST2nLPlr8Me0aB0iaUVm8u4otGr8
Hfig9YYrO+NTtJ/TcffP1gRqvrXHq630fcaPBqcWnAwjC7/cQPxeG8t/jdB4I3l2cV6sxXMU0eWw
gsUoJ1ogv7+k3q+vy4qvZpKvmwiWUOTrWJd/fYQbvsHo6XX0g9Qk91tGgiBpIoxHD07u1YIef0JA
kph9MpbSItrUIqoOpZkXT2Oc4gqqyBJiaBpbZGotSF1xHTSPEfVrd1PMHVyHxBvNQ+pnt2Xl6j/G
WnR14LT4D0JmOc71aOOSTvS0O7MjJYpqPRnzjdZl1rNijjxeoDPN0FwWvi42dA3zJ01p8Cn6Al9b
CF7tRrAr5TtRaNbZXVoAHfXSbJmJF08JM/yLojCZEmSrxYpNZGKE1xvFK6oJ+7TM8SrBxyoNirNu
3QeT/fl7jVXKRnzqJLQwVl8TmVXVw+Raw1NqWSQeeLoGrkejb/cC7xqLqla3947oOo5F0XBAr0t6
MUOKOkR968wgLf1UCwZRjhdFJbdoUUcaNkmWPQ/wB+iaR8B4+qmVD4pUmw3HzzXhSdNEqDv6regX
/c1c+u7VcJV4TAYbf+zslKfchYdHmkl6+v0T8etizQPBWJnFDAICM30OCl8eCEn7x23suHrnfuE4
xm6Yb50CDS+3TXcef/9hv77Qf36Yi1Bu3eY5w309keAA42jX+tW7o7slGqFZfzAqHLakBubnUVgD
9V8sy1tGhHDef//Zf3vyf35NtDqMbFjEv8omBrvzJQ6i8r2pVnChBa9m3pWWgfDt9x/08yf97234
57dcqQuc+8A7W+TS//qOzSbmW6SyCbHBknfGgofVB5KCJ93MSeHeVWYZ3QFC0upAL2y/3lhjnRZ7
whOczQwxNwsQ6znXLQSbi4qk0Ef2245z0lD0T2XJ4QXqZlkHZm+IW33Mqs9yACBR0Z69Hc3FfPYz
6tTAkAZuYdx111YJdT7Q3NKhe5MzizMmn8Za6y/vmYx75PJDuzNiW/9ORokFs9i3/uEs9EWExyVZ
jwEcg7guFnv01yOBobndDFxJvcNm4eInqZXsLZkVh1nNuGJ90nA0JLGDGS/QHTEgQdNa7Grz+ztj
r1f+lzvjrmLNVQ+ChYBt/MsBycgjAFw0jN/jQRE9WlRtTsiM7fqbjilJvxnBYR7csgdYB/e+vKOB
Xx4kfaszrGnyuEhC0a6VEYsDSV80ztrIfy1JiSP5KtfO6VK5lwuhU3BLrQd6oMW11LhpgcNgbAlV
PzN2IQAlCt3ad+84No5yR0LR5+Jk6ZXl1uk+p1N8SGNZX5d2X/QbGXXD21Ikw6Num/mtVq156M5s
TDsLlTtJT20aP0yFn2Rh0uh8gWQ2CCPoURQzv26yJHTZE++FrXmXabKIZ4OudhQwdLDnf3js12v3
9dqSjEC571DNul/R/AMtYe67S5x4KuwrwreyJyCYC0CyptKvjIla4h8+0Vhh+F8+krMBJY5B2skq
V/v1RSPbtWhLts4P2ErigraZVpImvWgnGpXZjkFEz0pvx+17benFUxrP/WUKY/SWgHhr9/tH66dj
7NffhaMmy6fpmS5K3K9iwHYq7c6Lq+oDt6dbULfL6FW2CoRUA8c9aEjko8NRrk5ZIBfJsskSxz4k
yGE39El8HyeCViabVjruN7Lnx7X1Swu90rrknDtpd2gsa75yhiQ+xrYbw3wiJWEKusUwifqq9RIP
gkEsgFcqu95rXJZdlvfamZSNkX8wuRrQ7WS5WWYoIRgx0noXT+zeoTTS/LJkzMuJ0ioxbRRNQS76
OGXMcEVWPIG8WracRbr73pyrY1IWFuG9bunqPImMi0KHrt+N5acVI1cUdXMgZ+ZKvVMUcUj8XH2e
ahBqgUxrB12tR2TiEXEK+UY67trnvpXpN+IU+08BEJFWz5jhZPn93fn7+oMbxEc0h3QN2tDf+nqW
OSGBnaf8A2ec7kKq9bM3VB4LTFxuGTWV+666YU2R1d6WMSPib3FGgGn/8Gv8Fw+st0qQ2fpWBNDX
BxalVFd2yi0+otJZhs3PG+KoISku04JkSl2B9m3aatgtDoaPGgPHS4Lpp+Y5UcbDP/wy/8UL6wmL
3jJLB1rLr4pdVQ7TKAmA+ohd3blvHKO7g/upbVwauyf2xeFqAJp4UQOVORazZZz7ymUj++m8XsNF
ECRX03iJ8df6RDnfQJ1o0vz+H37Lvx0ZyHNAPs8rjmZ6hSf9+o6PJblvfiOGD7reTfzIycLuQjqJ
RAt3OnEs4FCYKXXK8TZea8vPROluHqjIrKe9BXryyfaLGPDhlD+aRBcwIWEX2OH8KrjccUbYQ1Nq
fz1v/999+A8+C9Ogh/1vN/hvuURnciw/CJf7xWvx13/1l9nC8/9YjREuxatPm44Wyn+aLYhR/YOF
HuchsZQ/HRXWvxyIwv+D+p9qkdMFCS10Xf7lthDW/w0wjOYv3+jfth2b1sa6ztNT4yDEHvNzsfk3
U6+V5D5ZbZV+qnSN5s4QYpqElGhU0SHtjbne5sIihHnhWNfuZs2imnTq3vqYZzDXQakYb9TD0kHi
Jt0MG7mVqWeEDEI8cRCy8s3UGUSUmPFjOQ9umMaO/TwK0Z8bPe4ZvhKFuEtlZseBTDT3HE/8ZYj1
3mfZJ8n50PZZdXLhfB047NwWbW+9aXi2l5PeQY0JwLH1l2Pmi+rRyqPBvexUo/RwKJjskfBZWsN7
pnAeVSZpjRGuysDP6p1aummj8o6Qx1aHu0h99EKlNiXgN8dSO+dWalPOtaWLAIt7ex/j42eUalYy
XyX66SN7XhMAYawUCM5sdI7CgXfitrKhmhpAAbvEhJpz9g5WdkGGkpKtrDcpvqrRNPeZmT4suZXf
OJkbZQf+iXVeXITXG6xa6aGvLLz4LXbWbW9o32co3xRuJE4f287VQkaNKO44SZDP6LElq4SaZ6uE
1t0ZHMHPow8EwegH1zgOvt/IU6/86EmVnnvPmC96aOFleQCeEHvA9Kjt4sS0GZC9C/Pp2zgRC7Gy
1sIcwSLXoB6DBsjuhePL4kQiJ9dyKGl0mg4SD7DGCyKwoY+9kBTTZOumjrpjLidSfR/FNApzw8nR
kTHm54h3WLJJQYv1COULRURX00PedgAyYX6rFWENgeo09eATfCGCdWKRHsgr9jjttJTqjzEDJ7KJ
GbCYs4ZrkageKtwhW/TumMQ2g8kyK+zU+B53qsWw6Bar+bSAX9aJEOCFQCoXAR3QIwiwENGP6aju
vCRyGMyIIsxziX82tYEMCQkHNXF8pqQDmjbC7jSLWGDbnLaFisawnT04Qpr7kM82yA7zGA/t2WbU
EaiJSW0qr0Sj4FHY+V7MZXTh5tWucvLukV7WLbuPG7R8zA7tTx+U4/Ji6BNp8m4a7aJxuYeL0h3J
TcIKg2D6kiVdP9b4+XZE2JgXvoYUKe+MbotgIgtKMacXYig4fMNzOQFkUEcdYzE3qDAf/cV8rXqP
hEuMI0GW9PCh+gwFW+X2/QV1dHbs0ukN9Vxx0aYiPjWOi/dGlWsE9LKXmh92oh52giDsPNeaTQpg
KYwbzdeCmrDQME6SD1s139yZSs+PJA2SRkckItqc6AfhTUAhlviyskFOd+mCpTNT99CZOko6JN8j
fttQEAx8w2+fnTK42C24hJ5UHMsaPuoCcJmXWFwcXrZDU4+b3KWdVMWqP8imOVaTfd9Y2CC99FIZ
0d5vBz3MTPUA75mU+c6/cOPprvPTI6RWc+Ppy5ZtEoMr2S7kcTx2TbP3lvmcmdoc+PYw71qmuduR
qDNQnOLJsQjuwDTdbYyy+CiE3jJvJrYaVNpwn2rV2WsMOD290wVNb7MIpt5Z1CUkjRKWr86QLOCM
SGU7EBlbIoQJXTooPFs1ohruh7M3OUSFDPyHg9cWPxTs1KAxdf/CYbm8GJizBDNa0iv0OdlhoGDa
8FYYt3HS3CLS3GoeX4pj39XsiQysDatZPkQujZms0/B5muIuNRvnQtZ9gnkoa3f1XPsvbpN8I7Jl
DApz/oS1YRwA6Q0/ZxIo4D0kS6TSXAwL0NeOZf22tybYK8rxj3nm3kVOezuNvU7Z5noniZXchcft
9M+sK+TBjS5isNrqgUOZw0gmRt7vyW+3d7pshis7tpM7a6YKbWf9TrUaSpmsfOlikwxXf7iGqLqr
GhJ/Ycy6gaq6u86pWF0o+qNBZw5i5Ra/nhTfE5Fe5VbC7tBETNoNf59m/UNR5c7OxDV4T3fgXGtN
iyGuzx5dLXu0wWahYRi/d8r/xnH9aA70MmtjqHdlUUCUNaddN7VH6WR738wIWMkacbUiq/eT1/6o
7MXe2q3qDnpvPtSRm/MA5xLRbVKMJ7uZ9KvEsO7obV+Sf/LkMLgJzEJtdckBj5V262j+q/ARYtBW
CPN1La0178brrH0HUu9u5taVQQ2Ul/BS5b3mUWx8K2zPQYHu8qppIgpMd6RVCJK4yS9cz+x39tiY
p9bJvKCh8dIQsSGTMF8Kb1/MgzomJED1dXaBnzjf94WOGN6nVZOOGg31nBFY5Lsra9EvoXsP4ofA
ZsmCLTXvalG6uMUwrwWKrI5zMcB4Wjhlb+vMTt7q2REhUTawqxv2hKl4NMR4qCJ59kfFxpr5/tZs
+/tx6a4aoFI/xrk6+N7yLXPzNUw8CR3g53kobDc9Mcc/GvSUdiKJPBMtpq2uZlvASbfhBW4G8IMn
O7Uxa2jWgnIhtl4iOdQw4wxUPlrbVzVkQ1amsbSqG3r4XU6PKnHCnn2tTqfqQEhgtjEMo97BaR8u
zZhEsdQ0awDSerqS5B4TbVq35yneSMcH9mZfTbprPmlVgZolrscZ72chYvzktDrvqkzzjn6Xq4t5
tB7FrNdvWjtq8SEqqwGCjDtZoGoKpoKBEHIZYbMU5nbs/R/EBtwYiZuGvZj6u86ubiYaphAetdsV
gnaN9fC5a612N8wQuRvlPHudKB5mIqJNzei3q5tiY1ZF88ryKg6TsUTfV2b/Fj5Je7RIJ91mckz2
4BTIDfHqHJCx4Mt2I5O0GDWV7mnneJzyp9rvp8Bn5vDpoFXfMI8wsdVbxXfpucu9O2lwuQbvxcpt
XE9e6T65rko3kMz10HST7KGKKz2YJx18FklVASU9UiSxvkTcsCygkZ7vsMGwIPv8enHbkfeTvcMP
e1t0jZaRX43PVjduccYlV4VOcvwysmW7WW1AIU9bkYSK9OKg1tvihHNBHrIB5r7qqvhsmMWhzyEs
aTbhTAhqoI6XZkM+gZcMtzRsvANBkM0zwqiDBKf3MHakJ6xpTZgqEIVekin83uTeD1bnYtdgp9sM
bTQ8wr4/OZXl72u/XTZAHNJtVGMTyZg+bnqaXGGC06QKNZmZV5VlpaE07eYyI2wmQAa0XJZi8g+T
NOaNmzQ/SF8xwmEGUXhT16NxzwLZzVtrsAoStfspKfaiirudAEvB5tVp1UtDq/kUO2R5U6amT/qE
mD6UXuFByxaLdV8mlvFWFbbzJtIqCRrVxz7hSE2gGQUHhoFrbq4dUgXfhAPweOEOxFSlJFhXlnkd
Uajg65uqdohgKhSbkpMHc450jJOQiINySk7tMLk7wqLjex/4UkupXPhhWY1PBC0cHYCJMnKcfVO7
alP29bwdopgQmErCxpltss2EvueuXUCe7yHVEpRYSAmbUgyvYw9W21Q1xI06sjYEThHAFDXsf7k8
JFicSEGrCf7zjOJg9aYIkjYbLyp92katdZUlmfWYCqfdF7XjnQClwuBBxhHmrn+/qGRX4Dy4I6dT
7HXjbSgSDkxZJLdZGT0acQvIrDEJURAEACZ1vSGlnUiuLLponaXauk1xUMhDw7Il74IpuBFKrQL/
JQgqwK3AckIAAoKXMega6LQqT16nNfuNA/5ORzcWlH79OEuGJLiywFOk5QkQMZ0xwys3lCoZj4eG
DDx2a/bEQpJfJe78qRR7J8YCWw2PEokx0Ed1C6gfC3BvL7t5IhOurfHSCBiTxBS0Z62dxx3iMvOp
mNqOWVJZPs492HbTJCN+XjSxDue0wJJFmCU23QCTNtZlXqpH2mjzTnac6VIZpe95a2wMJHe3KuUp
B3YWLLooaYN50aNrFJdNMoirVvhAZJrqk8Nvt0YjbY2MZMlEywlsEOP1nHTJThVD+YgtLt0UuEN2
jaj8rRAcdszGI7dEy4pzHrO4LFNe7hj5N1eOF73pmMY3fj47e8ah822zgDLzMbgTn+Fy6jGIMcT6
dVXNy3BlgnKnrTeFqqPLnQh9uQJ6daHhdAqRXVlgb0bSXH13uqS3+i6pNwpDezE99T2uHaiF3XBJ
mbtwMfLdVKgjMdvjVmnavkg+Na/BXIgt8tLosvpA8MtNk1qnaibkzU8aL0T4q+/qmvJ2NFtrzxB1
b0obw2KWnTz0SZwT9As99x5tQImBlarvszv8iIb4Tcqc50dat0N/dmX0KEfFsHeu4ldNM8dwEMWx
TxUsO8u9VL73zasxX/nIS3M2R9iMXn0VRSbMX7LBLoWob7OJ0xkjRj3sB8UchZxG/SqP5MTxTLsZ
nIaYhrycFVtCFvF12QkaHDF1sls8rzu2PMGvS5t8WKQZIB+eiMCwzK4NJkEyV5DY5QspcCXOidQo
r9iyBFnz0io44MnWxU7ZVrdTb/aHUZubEM5Lvs+A4LVhbbZ6Esq8h3U7GcB7J2LPW7tuHieceMdx
TMYjp+r86LtJtScaBT7qouLTpA/OjibhwwIDKGikfw0JN7vBcG982mk3nFSSOhe15QFQLpb8YpDR
srMn0T4wU5F0yczv1PDZOa9Iz4piHXp0PIZjJ2OEyK5Fg8y0zwg7xLZR88yYZmZsPlItja7Qdj2h
tRumDhwAqmo/VpZYRdQUVQ003bTrY6wBpPIhf7+OwYKGDvkiwIiK6NoxemeNqHnzysEPStP97sYF
V4xD7ZmcgupA0NvRbkcVtNN4ZZSSY0VH+Cn55a/oENJN47nWJmNiHJBJXHEMahWZO/z4zidDkncn
BgvA41pOO8EUl84ALlDQvbsEXf2RcyMg9CoDe1mOO5Yre8tqTsxQaVfbIk/3WVJfU0x5d0OmiT2l
MB0Xa87Qufs+J2nMhWe2anahiWrhaun8E74IZB15Jja4FOxgyMtQGyk/pGE2J3fpaJDHRXroUO2G
pFuAc+g7/dTndFU7aX02ajgvcK6DtbYwVXplsLpvCbIo10i/E7FNqAb83NwaRUGE26QZuKLSnoGK
p50mkREgVJILLMtz7LhP0iP7k/M1bOiax7+bCSY09D1N/nHFYlLL2MlCylPKj/IGM0jT/kPJ+taR
/XkBXRC0CwmPMVZHsmNJ+7QAFGtEPeFY5esRruRYXagnM6uyrUeHhFCjLRAdm0PLcjHxpobDCu7D
PMAaaRvthgPg2+hmb6lrHz3R3My9nLEULuaGEvLEEv1U4yPdiWHeUmrxJBOVGPZjRzvXSPUrZQwm
bp+JNopi0xW9dWxr427JtCMmmK0anRwRslH5FDqqesZvSttkmiYITYXxwNp5Zy4xmjak8luAYVRe
3hTGLeUg8YyBUjUNZIMiFbPBRbLmSNuieqvI8r7NYo0b6dn7ZmoSgrMt9chQ+cYlbm8z14a5sTp9
13e2G4i2JUmIg7K2cQqycShwsocySj48AyehMk+553y3DAArxffeKPdD732SucHc10sRwhsKh3Hp
b5qsIs+qRlLSjJ817C0yuvJXbM/JthHQPKFuhlgjJE0VtE2uyvx4wxAb+aBBMBGr1msms5uWrLgR
5XaLCKFGb3ldDqN5oXGmr4M5LgCgjxTlI5FZ/CN2cuxvZeDruLAqXNbtJoGBNTXOqS6NU6vboZPN
JQcxuKQ7ujjxBVuWHeTKcBt26KUZLjWp2r3oTJTRyKbaY1o00Y3Hqsa0uwOCXXI0bhIP15Jy+gdN
OGW3K71OW3atlk9taBkJrTaHGmFh+TCHdIdp12hMPPPjYoPUhcGJ8e9yIFviDZgxtvrLyMDx2f6V
G/3/ul+//5BX38uP7n+uP/gHhwvWuaT/X7/+kfSJvz537X7/8oftz8yN2+GjXe4+Oia//xlUsf7L
/+5f/o//FvEIhevvQYAPH/P37t+JR3/9F3914X3rDxrdtNKBudAiBCL5ry48S/8fDnMWJkcGkHWM
7v/qwlsOrXaExbh8GLQLRB7/6sKb9h8ouJC5kxaDGpUm/v8J8wgdxZcuPH15W4AhZNDML2TxWb8O
hvQegXwjJRzzxmyfR024QVcgHp7NgrVDa7aJRugSoJ38zp28cweh/JszZs19LbX7Rm87mjWIvthU
1FnIQTsuKCKj/bgG2w9kTn8fXFeSyiz1BmJ4BPrMts2YYEjXXqxbIdLcLDlkFIZ7pJQks9YXSpeP
HUdmsNxarqS1r9nc67NXt/pqmhwn9tMA73BfClRe7Bs7tl7dpfUztW3ziJi2ZyzvVmVhUGnMDgHr
ZuT3WzfRRbdLCmHWFz31NO9yVuWeTilpLkRapCXV7IUrF/NJEG5MLISSkJ0ol7Gf7RlYE2824NPW
cZ4sKUtUhMOG5AecRmOzAfEuv2dV5L3HTkY2pqLx3zUrbk4fHXzk5Ezdz6rNamzmheg4Z0nzhItC
deHg+MkpYgYMDL5Hjb8bAURwSJTZwjhOZgeC86DnV2lPKUGLHobi7KGl9+yXZQQejIE4OaRdeh8X
Rc3NGrJzw8TgkJnTUyZTa5/1dBiM0o8P5En/1IvFyXOKHSkmUDY9Aps+kyVPSvIwPHdxSaxwwSi6
nNlOKkgHwRg7P/o5mmhKTy8qY3RoNn6Yz9YxnvOnecT9tPhGRjCceItTCd0hyod7RclJNLLGgs0l
1axKBpTMxM26ibvzzGoPIepuVOkT/eJPWaT9SWFQCHA3Xamk4cQy9C+y7C6gsFSHvE+BFabWZqad
yry+ZoWtscMRKneTYBEl5I2+gq6lVNOa3FJFfjhp5ZxLR0U3ky+JutBXo+8wREFnRZt8GWiRj8II
ZgV8MbOcDQf5OYyNqAjFNCaX0VC0Z6+fzK1rC/3oyjTdVZiq8f9Rsqqu8d7SwRz35Winb17SzBcz
qVXburG1u7heBCTA+COyInlta/293afzfVUSaE1+TAohoE4PNAydYEh1h5ppsTnt2cOu92xxZF1I
dm1r+rsYrzm+U83fj870QTRceeyTXm4i1o4gj4e0IjUrfZOWkADFSUyNY6YIvs4WJWEWBl3V01NV
NFRsfUSypHFyh3vzYNh0UMBcPGlFdFSKpIGyq5vA7rVnm/zBwMrn7CJpbI4FcLU+LXa610G5YWb0
BMdNYhUYNI7A2aAjexjz4eQAHyDyofUaxHhK+5Q93YxghLpGfB+TwHhDSa3IlSxn7WDm+nC3GOPk
3hcir28YrHNGArqYXtUAF3aWTL1tRNphFxoAvR86p+zDXjdUTKtVmhfVQFlNZm3Pp/Fg5SqIpv4H
g3Yo49E43iBRNwg/4LGI/bWz483z8s4cRte3sSuWi6FPqwNzoWXCecqjNYfQtvQZL7lh08DrkFEY
8EFTFB9RvaMjPiSfS9b5vGsTGSEBMtl6ugK81L10Nk+LSWWYqB3yYR0VvF/up9TD2tpo5p58BL5Z
PpEjk1EPJpJVYp44UuuxtrVx51FdU4BwgLC2EWe0PbRqhlye+jYjwXoip2u+KjLtO6/UM6dbHUIk
WY0lh99eo0ecoYjZtAXRKpWWvgMNaTepWadPZZvBkHZqOz2b7TIaAOqBzAHhNm4gkT82hZl7AQ4u
/7IWhbwwfHLvXWu8hHRa3yHH0+5BXrvfTbDwmzj3AUqXfpsFQ5zwGk+zSRSorGZS2xf97EQLCs2o
7zaIp/srWtByy8+pdqDWl327vrU0Ap1bchKJGG8YEmrEQgOmH28KeunbdOnoJuoJyb1A19hLlEc/
xqHgs5aXapD2AR+1/6M1u1tsgtTGXW6NB8vrvzlLVpKPrWtbGmRHURgewY0McLDB1f1nJMkCAEui
nZbBTuCJDwagcgKiSCehmwqhfBcRExl03nKVTl5+rTR9PC/oboNqGQhFqGZ6DR2M0tE1f6akxPvE
ZyaqTyYxLFk2BLXR7gmqoaFj9WcsAW7INHEJmJHyJJJkceyxzATO1NpBbEx32IQoNTyGuRLIOANN
6R8aqkNtafxjq48ROqKZhGrHL38staRDuVLIBwM9Sd3lnBhLSXGAMK978KF1bCwvB18mCpR3fXP0
NZ/YZq3+nFE7ksEht8qfhp2+UgEnHLAhlkaCqGkv7IahnC+0vHkfc3Uu+mg4GTOJ0NBCmhCfUnVt
cjK5NGdubKUvqMDSXj8q23YOtD39oCE8HFxOleIAgdCveXznIc8wzJc5613jvCpFTkoFPIfklv7V
lHl+susoCoylKih6Kf8ploxLnoGOGQQN1ynPPwen8HdzrV5BWxcckn3Wsowz7DmSRmQGmO+5en78
VtYQXtGltTcRmbz4jo3uahLeyOZuMgfU4xfUyJ+133yIPi12YGDmYJzFc9kijS3zjrQMeraBwg6M
hmDuP9tBMATCJbMhur0kfAh/trSL7NY3ZX3UPVNdkhfEZXDz16GM9A2LqWTVTsdnb6HfRVl1n0I+
DqHIDoSDeazrTlq8mVVvIrNBgI6S2dllo7uEFXPUHWzv8tI0GOsCQEB3YC1vYBsX2jwO5cNqdSVR
NqdB3XhPnW6qm9zqJBdU+cyNEpdGDhes5tcf+zx74bXP+/Ma/PDQuBQMk6Uv9zRaj04xU6cWfnw7
II+7sSHWvrgZXEHHmULiKa+EKbuDNXixBX01q7d2R9cHYWkiHn07n3BeOG2w9N5WqMgxw4aoQu70
OFERNiVxhs5IFHIszXdUyBVtdO5zYNaGvB4NBqW6mt2DO9veKzGl+sugzz8yaC/XSre0bLu2Zg4Z
kg6g/c5IbkTGqFZgr2H4gtLdN8e1YWDbPBF6edfg/rybmLjrIaumxhHDBEBri674ZGhBeDIvasw9
heeOaMRtnX1dGzavDFwBeWg7X0GrQFS2WWLrvsaeG7q9fglyO/vWYdB4wzp9UUxJpDaZTDDmxtY7
USH2fUWo2w8jzihmlXB8PBrpMB/rSbYNxOQkGzYz8ak/dFJNN7Ucuns1tc0xYvE8r7bXvV85N8qp
TpF0e5dkAlPOB0NTxM6Ozui+R7HLUNbs3Gu/t9Nnmwb22RhSe9OCHNraqVWHtawp3dvGBXrQW/Ku
tUQLW4JLcTXnTB1wQUkCIPp6iDeq9fpyM87dcl1hPdjHRpvtInfqdwY48m3N77XvW0fbZzaqj33j
Fukzq1n+zBY3fAMkqt/nWU+ib+amR92eOPFGTHGbaqQ5xfAcTeHiTMVTbKbZcho1lBO+Slq0ASYv
RKJPyFTSwr8wm5aBRTkbKINpr2+cMda3isbrbY/04Jm+9fBO6siI3Vr6THKz/hqfXfsoLZs2q9tJ
4NcWuRK0lSBTc7pSTz7+J9r5tt1ND7HBCgveQgz+Rvm15WDIqhlOoojp85PvibLc/gd7Z9bbNrau
6b/S6HtWL3JxvDgXLZGaLNmS7HjIDeHYCYfFeSZ/fT/Kro1K7Tq9CwfomwYOUEOqEk8SyfV97+iG
mf1lpHnbfo2Uliz+4NLyuXJ70+NGbBBAzOz4UWAqE2s6zShvgzPaGsNK/5gtBTVYbVxop6yYkrcQ
dGvThC4hEPkyZfu+L6ilcdMIpsNUmrtq8zF/EcQYXgb+6G7Kebw2ufc45szGLSlI34q8IKctdtKN
3QE/NgUjKS4o4pW7fMif9JhKXrw4xnakdeqIvplM6hzQqIxqzLzakrUrq6EueKRI6ULMYtP41gJr
mw4k4QypDsxcLP3qBtntemeKzgYdUfPVddKmfJiiGL2IF02C4O419ixiID/zKvZmNCZ9Dx3ZfjJu
Jm4frTAyjOZj2UXIRniMzXByTbtLvTj3VqhZh+Uum0yNfo1UR5NSAXnINuY5ii8LzWpry12HJvfF
cJMcQQeGe2fXKO7Fb9iTQl9oaRgdEyLea5rARZMGhhuNvg1hj9BDc0aePmhZj0OnVQRmePp1qjt2
AZ1OcdzKsT90s3aox6baw3qmft/J5AgvnKxDo3d+5E1pfohCgR43RIGl2ymvnlrlhcmbrpv9OocF
P3XcjysXXs9CO+q630u3inZ2nzOC6x3lwXXS0KCcjiIgcn4h/avN1KY12uVdMFjfjTNwXcZ+XDqV
2JZ82sNi1N2lqpKKWmgzv46jbh0W6N+1kZuVb0HOU7sT5zKI1M3EIEKmg5rm5kkRYAT6hWwHASW1
wDrKEKbIoEOngN5KT4OIs47hvJ6DCVY76DNnr9GJ7Jcs7tcuSrxNo4TxbpmTuctVU61CxZMpK2k+
Rg4Ub5NIDuihLbqSktzm7SXr71vmacMWjP1BTrH3KYrmYeA7WTWdMADUjXlX61nNKNWTEcZKS0EO
9TEB1029qbzJCupZsd9wUYqVnib4usMck3nGMR5OYG4tMz2pe06+0wg19InFGteIV4B5iYSDdBPa
vDbJ3tvQuEvkuedoDx1WgGs1xrsbVHZCkFCssdMgkY5IhgoyLM3fKzIbT2GYJDxoa/juUuPebXnw
93QCo+5HU9BQXtiobuDQGedL3AnvfpgiCt+LxN6h/7YCI6OaS7RleUiEfnZpeF+1LR2bVPhE761D
7FVRzggRKr1279EdwWzlQoEdh9BbmSffInSNKznequVymMA3rWrfanw2KxxhW9OadEqvq+FTTBys
UNDLnkTDjNev7/Ge0Bq4goPJ1ojwQB/wcvnkb7zTzxoHA+8WGp/ptXJZIiIaMJf6s0iz1zaF0ciM
XpRBj2urXE0SKSTaylVG0OohTVrrXbVg9nkkiLqQsy7WWkFlSXDrMOojc6qPCEsKrpbW2epCOWuj
MZNjFkXqDP4ghN/TCO0GQyWG+7Zj3k7FYPj1Df6Z3Lbae3WdBQtFTbsodcX3sWBFS1Fz7cCTe3/U
auNC9D+IQNV8dPHUHRyq3EFnFRFYZe/H8VxRimajSzM0xAROPlygMZGhJfU39jVGsbmAsTSXNN+j
khjUOhra+YXsxnYF3nOSMg+fGaWeEq2+yQU75y62aUkj5pPBsSROd1zqdkXTduMXQ/8V+POEPEGu
4tR4JhRArdPBhPex6YGkR9F9wd+BbACNuO8Jd1gbfWg9QRTQALco466YY/TYtDFUTrsjTvuxsfUf
aO2Z/2amoyKqise4NN5krGd7ORTmZ0sgvS+Axf1Ky58nx5U/qirXlk1UuDZi7wqum4rTHpjZzq8k
qApkp1FK02Llhl8H0SuqwoYB9pRcoivKrgWU2g1DYKduHMmHMueE4T/X2XEma6t66V1RQ1pQ1tIq
bX680OkptrjJ7Ih2DmyhmoNRMEou+DVYdcIb9F85J5Va1cMAzEybptJu/ZoKANw26OwKBjdD29eL
mAA4rPh7fsFvqcL9YUTGFWs7Dw83oUCyEupALN6XUZfjR6iqvt4qTUXBZCOScBw6r6xsOiwJ5jNN
6M8NR9I60zuoAuOGBVZFtJ69nrp0HVKbe4IpL9GtrWExCUet8ZMKbmguTMt+h9Hza+QiduGCX9Nx
JPYq0k4h5kls85Q7UVJyqAiF3YxSOYGj7OxQWcB/tSdaGgJQ4TCZEhRg1scmGi5e2n6KPOGKD5FU
eVNxqc2q8AFmnD2RKgaOY/Sz7C4AiEuuPYyG+ZLoZnvX4TPzx8ZGxpTJYhsTqBQkJfo1olk1v7H6
libgCGVaiWYZRclnRQLKpdcEMFw4Et5Wzl9VpIOcdbPcOIq6qxRJcWihzRhdS0GQzID5eBnH71br
DI88+4yVbVvN2hF1f2hqwCihp2sdIcEpa1wkkaRdGkEjSIfx7OJkdlm7DhdpooRLRq8PnEjPb3Hn
ePJrzkedKq2NQgn53upl+WahA899pS3Lh6IXY1rrs9LeSztvHhwyk3YpB16zko4z7VzSW4+OYkVy
PJrBfLpYDw1NhoHMZ3jIMOPWiqr8HQmL+1COMjwtXdx/aIn9I2p0eBov1tpDDQx9WUgLXVuJMxao
o8T4hRy6/mwYsbncI21FxEnibbkFBc3pyOhkhSLUszc3xabj2yqZ/IpE7WadEHmzSSo8OyYZtPd6
0ljD2uIw2CXh8DRH1hcmBASaYVRuaEzrdtwHc2A3LQmHnvs8upBcVVwYj5HISEeM5YOrt+F7PpEU
hmrDXeuOYdxEBTSB3Y0GQ80xo9YGqeUQ3zFDdNMmspty3VBK0x/MgucPqhpEA9soJM4WkCiLVyNY
2M1sTlvajaNivMOKba0du2yem8qs7+radaG+sSAJejTB+OYqDan9SHWaZCdP3o+JJZ4GPoHtoxRY
XnrV4XuqnBDQCIAaQ1KBAF7edGUOVw+8eDV2W7xpaFIrMh18Dixv1dFmyMQ0j7gZjY6Ktaa7TUI8
Zd5ytNZf6YNzubX7tCP0N0ZJD8PO0EpOADXHZJ2RDSmnR6uvOsAnoSp7xRrm8k5o3jNh1dEnqRsp
VBo53xOW3Hm+zmqY1FpyowULnr2Egf7mSYW/pjtP5JU/yOrHyHiNpLq+zEia0FbZ1PKh5fStqh+3
URLWF1oSjJc0ZQL36W1Ao91Y+rmtsVqhqBlcJGwN5ynPsvKMTnp40cyEIC9KRHrsAZ57amate1GV
Ju4FxqutgbzHY3lt5aUlouCKA4D1pdFD7w51tIFBEKUbouvhEfslYOhk9NylZcFjdZVbbmEwM8ax
n1gtehdnxEXs9yOo4Eo2XpTeg/BTVErpgczuUt1AR9XZo8U7nadB2DVR6hPKdCap1sQUPFdGcCvJ
fRKLEx1Sk0dlkcXzjwza8C3UWwY12D4EngBMSHDpXllFaVK/9LaF3lrj1I1Kk8OMS8pn2UkC2gjS
baWNrqCqML9rKK3ZD6Pogqq11bHSC8oYlaOLIxGu4xe8Dd2E4IZSOdSH5tpuzJDHSaddKlVX90SZ
ubs81qOgHZZqO7bCXEtC+yIUj2N3crNcvoLeahxiY/UkmO+OGBBQ33VM/8CZDiiNFl/nOB3WLulX
gPZlSlptm596hIjaoOsBD6dwZ8cWzv550dFucmtIsjODpJb7MtbdczHZFNrO1nCwNQfPP+nJPhpy
nYvGc9bgzc2hRb6MMMlRR1pHvhXupKOgngWZJfM7Ga/x2jCJLgjdFFhRD3OwsmZ+1hIZbpxGj4PK
WCRKZtPdxrQkr4dmNvbEfIPZlKqYDYC2xY/lpPs30yKGw5JZVizNW5KZ85pVYdnNzWTDJaPyOZOK
DA6M9yTziQMYsutkxQk15hw2qYXgFDxrUEcN3ne0oG/AWHUmjTLe6Ao62qNB11IL/1+ElxYxwMNI
bszKGNSz1xqvMuJhbWlFkJhy8UFK3r2isVceXnx/pCjSbwlR9eleLTeGrhBnmtQYRild0ijXS9Oy
1shNl1UULQ8kkkuCiusXYiHSsx31hBAbOwarbjss5vBVm6BBDKm9onEVuLuYkKdaS7bVwEE9uf17
7qX1ZezrS1+ijFmJ0uVo12+LYJxpD5QgEPQnDKLQCmEczUH7NDWnP5VGgbWE5/+KZFpyN0zPfO1G
q6c5eToOFQVWTVa//HRF/b8mpE/JR0OM8o/uzxT0T1r5D376/yPamg4R8TcGsrZN+IuV9Ffy+veP
+6eFzP1NF+bNi0augUXwJD6xf/T1aJ7+m31rtYM9/oO15pe/N/NI8ZuO5O3Ww2WSc+JY/6W6uj97
F/GvWTeLmEn1DaK6v0a79aJzY87daF9PxXISRJpuJXHIFJxnHiiNADf6mPqh/uBZGf6N5R5P3J9t
anx1iwACnaQDeQsh+NdkHBxUxDkDvu8p+lxOTqSWjWa0LFYE1FAB18Vi19XUlK3IR0K7pf9cjQeu
9mOJ/PrLEvYkqpSMtTwslc0q6Olz2axVaExnjC/Kd2aNTvpKNVADbZr0y12YOHOPnOR2RujdcvKc
SOz4LoH+59ic1P1AQdx3J3VvxZMJ3WhNLD3aiUmQu9Ya8p+GVrmtO47TeXH4fisZz1tnMMMDNW28
bjZY7ZEN3iKnciyqd+kVy4buQeUXvSb3cw8yTyaJiQx1l9F32jePerj02sFFmEj1K84o53OIZGRv
RnZ34xniIkqCvI8mKCIVa9ZbLDzK6m8O4S6+A7Uk8HU1IgMdz0SGsgbRtz1C83JKuJtSzXpEzq+w
NyJTec0TIsoFAqQWqweQmZDWXjdvfzIi6995nYCTii1uH5vxhEYaTtMYsQ+nphP5OjlvkvlN2ToM
/yq3Q+HQB1FAGixz9AAAXwalWDJMVQ4x5yssFu7rAgegISQap2Asamfb24vf8V8gNUPzYaX1cO+g
tGzXSkRyl9lSR7pKfPEYhsNrk10818u2eZOLk9662db1NlVDluN6yGwkWgjparOuznWsDC6YCsd3
h44AytEDLrTn6Qv6L/Uq4hnkMyvitbToae8SZX2/rfFXt+Wsrr2p9qEOvE1c6Mm+c4EiIOLRatGB
4SdOU+wTr+joT892hq5n1zhL1WWYOkzoRHw74C/1VtNHm4282E/e/OSgD2pWGpUH3yzolWuuYscH
WkjYsOw8EGOX37EJtEFbmUDUS5IhIgU4qzU93hL+6X3Ykarpyg6b9Dxodv0eDSjW0M3N4t6j0Y5Y
3lTXDkVs81GzKMSlabF2kYi6PEsjo0C9Mt5sCgmj2zH9kRi2/my73FTmKM0NKjhzH8Hj4+ua8n0j
x++3ToT3BcNN4FUl9BLPhO4dV0yQLiS+gqCaK1WNd4MZWw+ZarONHBY4cDsKIQAiU+1LT7fhkhz9
jdnOvdedYkTpOHZ7inIy9r/ZQxhbtk9tX0YPcrTKnSKD4m6MZzhYEtQRYlQWOF+s3wNXpq9kwKVv
vKMUQk69vOvLJdv1RVHdq8XMPqqos0Mi6iLnkDRyOddWN6AFrpnqElbWVVgxhM4p8ccrTcNppskp
OblzIy/eQp0CKjxu+4wMRRxvbpIcCvTaDz2iiuPQyORlQtBALMo8ilOlhuREJUb91Kt+vDFR1UEq
suq0KfHeMAGlz81gd3dMMJ4W4O9KD8ydi7HR8zg/o2AK9xV5pNtugaYXqeciqxisH9bQ1FvTseeX
KYVlxr+zL1SFAgFGjqrpguiumOT2n67PItobXnU3W4LT35PoOc3+kzwCAylBke1EBAVXWIiMdb0d
tk1S0IQYi8lfJrv+VoVWfyfg28mcmpO1XZjjJS1Ra8eK+p+y6eWFZqb5tadx+4MiweHCCxI+TGXV
E3g0Q/WbY+5znxD1kU/pbsxMhmEztSlg6Uv1pUooL+dt527RxnrjOar6lBpGvcXNEd1PoZCAF4wm
NSFrZ0enfAhDzwyuYpD64LaW8WMxYpyHwmb1mgX6X3T6TxXw7SkO8zOjkXdvlEb0arjc/4vlEUAr
Z21YiTmBH0+UOHmd8u41DKcXYn6RNunt7B0pToIhyqaHrO4rUEJu1AOgq+kv+KLyNaIGtJ5Kjw5V
iRI3coEfeDGKUw9tQFUsjxpMQneabaUwLqb+aNNNYEA8a+G6rW1S0FIysPmhXRaZnmLOXTu39TeW
PryoqTpwlnhBWJfG1xSl+T4DxtrWtFQ/wRq1hBx3zj1wBf4PIoTJvZ5V/aUlkxaHFGqvAT3lO4wX
zmYdajtLSkww3D3OsRjH+fO21c1rFdXWriis8aBF+bANAbfvh66RByMzio2b1PXzCKNzhkMLqS4Y
lq1MpvjCyVa92V5ffnOJS/gxJ7fF1+5apC1e9IloPyXEacF+0lUbQhN7Uqlay2e96fDH8H2uPa1F
4KqrdATszYb3KsfasR4M4uLW9i1rF+FB/Rz2RReA4pd718pvvZd2qn4Upl5vWm+oXwgise3ALKP8
m4wid1vUU3jq9dC9G1xSOjLm2H3suTi5lEEvt8H5hgmly+47U3gPqZu3J6XPYPaQXIe61LpT2GlY
OE2FxStDsKYNRf9CVpwNZ4odCscrwi7kSWN/Ia/bPS7ElH8Xss96hEtUr7El1NFdNnbaUxxb9lud
lDx6wPHIMWk1yol4aLOeL0sYBkTrlQ/Yf+V9gu2Yx9JAhgxZHfoqDWkQdDp8JVwTYyLXhqfVMCwx
DZwodd4V/Ycbkch3s2/LkxYV1qOLf2uli0kex86DZ4hm4zzf/O5RWJxub+ChzqS+Xbp+PQDl+mwI
xql3u3QfGSVB0ohGzmVkyC+O2w3B5Gg4n+rS2mrA0sBDtgxAZAwf/Xjra6Ws9lgAEXtYkQmeTPo0
vEy1sG0P3qNu4aMv6tbYiLjRnygIjk0k1pV5VmFN4aIxTN4liwpnO8YcsqOQR7qORt723BSY/3EV
mfZ08DrDDXTw5O/UqRvdiiIjb0dkHHy1lgIJZS1MfTi3Z7jX6qwoJtilsWHsJolmfrFwJI7j4i3b
UG+cF2YB42mSXgo3bknnh5tr/VteutYGdPTVqjMn0FLvIo2mJSyyFLd9aXTbncEjD4VDl8aHkXIK
clOMNlkTDUSfhaPVy0dC91aNfTkcD0YPClJyvJGOHXFpImXMU2WdQ2bTjY408K4n1xqI2m2cFO50
Yf7AwN/fy6iv0Yo3z4Vo8odhHExSPHFYbjnvis1gkqOGQWjeaGBsO6PM3AdHdyZOBSd5Y0Cz4WtS
GKB6DncQLSHGa+WBk+qNrvZUV1DAUWrZGWgLa31jTuTOOaJkfAXBD4CFx6vdAKCMixz3tpiLB4T7
eHozaTdcHJ6DG2iJMe0og9gmHivkRTBMT0yq9P8YYnwcRBZ9EarMvpgGM6CJxx5JXFjXD+hCvbsF
ER2yNyvcC6cieiESqSQeAHoes9QQ7pN+wOAwRTI9kPbvQdoPekIwVeSVO+TSUftd5qnTQuyrbtZx
18vaPYYDiOzUuc3ByjA821orT/iK5nuvxrtEzVa07iIUf3ExLiAZXfRKcspdatpPkZ2Mfm8k90WC
TyeT5iEHdvmaEHOKNSCjSikkAWBFitgrek9jP2vOLSUoln5N90FQyeW9iWfU/trFrWAxvXiw/WzR
Y9xfGBrLrhi3qCfMtbLIxWRFuEsyPackNPrC2yI3/YznHnF378uM4UbLkofBTOQJmdqb3uLjRa3J
zq1U5ivlYp/JM16YfMQ+l4PUuqT2w4CbxQGjt8Sy6m5iQMYDPr0Hgq+MZyIzifwi4TsnaK8g8Ayg
dL1o07JG8onADPIMP2++RVM6rpYklW+zZkx4dfDx555LN4TlPEx2rNaVXahTweX3rrVOQI54+JQT
/bergOUOeL7EiYykxB8i8KnFbTjm2jjZJ5XjbihWXtZVG1o0bPR0/kJW3xOry8mu0vnBEvxwqZsF
yUIzsV1XDWUQUDmrXyJXzv8IpfofkCjnMiFy8D/+51/XUps0ZIkUm9pKSnpui+Mv+SVxiOI+6d1k
T+M4a502OTj6FpentNUr+9EUBRsps1TBkS3U32Ww/WUrtW9pQ4aQJBLbqMv//MUJP2mgpqtkr09l
87GQQHlEdxE/uMpT13//cyJR/zWnhQWYfcbl79v26/4lDjchPMSe4pwvVRl1EXCPEC5X0FD1/d9/
nVvEzV++kOmA++gGmnj7XxO8VTnPhDc40b6vsFrFbmPu7X6iYB7h87lulPKOKIIwks9m/l45ERv1
uETxgxbGt+UaK2oR/PyW/hs/+psAIiK13H+LH+2Lz+S9+FP80O8f80/syPyNpLBbmhx5hdwgYEO/
Q0eu+xvpEx5nuvzpX/gFQTL13xzLQ6Dl3EoDbO6sPxAl5zeH37h9GMv0z2Cif7o+fr9VMYz839N3
zT9nEOOf0Lmm+WyeJWniNP41u703eJYslILtQ7lMnJYZJHwahtFNjo2EMObRPNDfPi+YfLRhZI41
9KNN3P5psUMMf7pOwGcokuHT6fX8YQmnAnddOt8ExwqrPh+V+1MZdhtUOcXX3ArlXti68dAkI4Qw
+iN5WvTMXdYqzel1aL3M3ia2++g0Krs2wFkPYnjPy4aeuTZWz90gmrdSkZ6wXoasWDgrK5wpdLxP
2AVB0Emdo/HFn7xCTvRZglMFEO7qG35ZGcFQ5GBTs9GEQUn9w550Y/aekBDrUzQT87Ehd3Axfasx
XDPIUPzIdcM4w6zopnJbezHL/BSH8VGmzuAGdAMmzs21YZP6gYX6o2qr6q3sxHLftzMpSDJr7yKv
HT/QVxRviDA5rAY3otVsVBA+VRq9G0xTBMcbJaalfjP0ebW2e0Osp8QdicuZyrNFmRuSI3ci5oHm
OIdciUTdu/gSLmbGvlzNnT+35d5xRmRLtWL2LPpmhRNqOxqJc9brlkEllfnH1KIBl1PunqlDrvbU
qnSPLM6tD0ZKo8w4yx2tHDqPNU0VB6vDvpHOS3/HGZYgj2/1+jBQDUjseWQhsU2s2jm6Ijd4tGtz
9kwlVf/Ym3QCpr0OEwibr7/CfoeviJhuWkF46gLs5jguWAqB9W3qP2bM8FO4HJdI71/om6xgqr28
OY5hU9/FEIM/iHhdCDElAVsRbmjGHORFFlS1dxOpIEOn20gnlCPTpkZnhuYgrWdEH1E71RYEWl7m
uDjH9isMGnPHyMRUUU4uo3PhkkG04wRMrnGl5IsR5QmYg8VXQ4EG2IfzcdPXsXmnGzQ2oaso4x1C
ZHaAuax8oxvq3Qj/c404oZmr0+lNK6LmAOHnfR+b0Wk2tsgJV0Qf4CYBgI939VJ7GddtR0HQaxpJ
+4zw+6YhdmlnWnl09H2Y9MtAz8WGCiJYB9+zOmbLXC+eeB8VYoM2PjtT2p5afY4PToM8NNDLsT5S
d276mj1H+U2SVz7RlolrtulKdgm8h7SzR+apZtBF+1zm1X1a4OWgUSznLn+d0FhByGWUzpq8PJPh
iurgYbvmX2WhI2hfTd6AdP+KUJHg8mMhxEQOktFS4LXLR8aPcFhEeCWgRM6H2IqJ1Rrts+4iJq5M
Z1mDqEUrTjbvccq4e4J26rO3MPTmFaKiIfMdBIkgi5VRron7sR57worJI0h0HA8UpqzjAhsn0T7T
sUP/tjVrJuy2bG+xUXMU0LWlAtZlLkXul2vYTjBVyOuyL/h1ZH60+06kZ4dmCkTiZkV9/KO5tONN
k+TQPovSo9Z2Y988mzSEXDTlggJPgG172QyHgQX4VEIkb/Putp5N2bJlxp4vdeka9Bdm9YolJ9q7
c5tdxkY212xMp7Wp0mQTSi8LnIo3kiDHVR5iPNHr+B6PFfmdMEmiS8hPO1Rk3O97qdXb3glpskuA
BMMYIU6qHVJEsn1NJIEOO8+n0dAj1635HJMksQ9b+Hedl4XeIbd9SIT55qHh8lk0vICeE+2Emyvc
kaU0redevBQ3AUoY4YdU82fTDoST8RqGnbijOASTDOHXsF1t/GWScQE/Vj6TReLsc7f6oJc4C6bE
uFIA6flhh/xVNg/2mKbnri5ezRC9CQ1OTgLzmIvycbi1QuWTQzeQgGFGFPszN4V8936q3J0T62o9
2+jg4aJrooZi+1QnentoJDoT5JGb2XMx+svB9PUW0AVRpyN8x1PxATARwwSs6/IWT2178qbR3NiA
8qDqJh6cvjsiQzJWQuuLq5jqcqtROLE154WraYZjpCqReKG2BH90E6u61DjfrnJpFMWnBKZelDaN
D7bXfDplLA4sOvodzo860Fp0qesKfdvtMVsTEYv1IHpyBFEKcEeUVE+WESwkc/qRHc33gCOwFYPe
fKF+sycsxWzvEZherAasQaK2XTeUON3nDW7vJs/yxyELw4tlILMze1gEC4AXYelw59Hn5yuDmpVs
Ct/jVtQXo3LGszF5013StPJqA3w/9iMbSSeBt3Gnr7HA8eTXxAtFsriaNP4Rp1O49qDPfUM5H+M0
tFeXqMQ12P+8kfPibUgfyX4QLlfcL2PQ9ksP2GFKAO6+Ne95xmjHtEsc3IRxXl/ZCzO/psHsjnhM
cqFQo2+pVIo/zCy7kTxlS6W36q9chNk9/YzZObVCqIoC7I2MJRzTujg7ZmuS7ZI2+3yR8pzBnfpa
P2OgH/WvoK92gAZPPea417FmOcZLV5pgU+i1MYczFiAGGZD86dTabubEQD7GsrDVqya50wbbO1jt
OO/QgU97u+OIpPvV3msZubv/2Eb+e07+uzlZCDjR//XPyfMvOZ3/O3v/9p7/eUz++SF/TMkuYnRm
XQhG/U8hnYzJJop8Kobwu6HNd3+xB1u/MSJjs3FpVbJtiNY/xmTxm2GgHGBnQxomkBD8V+zB/8nm
RyUk3wUz/G3TvG3Av2y4KXOA2UpT23nk6iP/Zyba9Z7ZPv3ymvwnizS7wL/ufS7ZQg76b8q0/jKL
L3qLQW0ZtB3Ajk57IzIN2Qv3Iech/nfZwX9lc291KmzthvRw01u8fb/+SLwXKdCuDHezTuKHsJvh
xEgoD5iOb53wKHr/BiWQ+l9/PEcSD20JNiQiWcQtzfiXVxHRj1XrRFzuEp69BH7UZXeE0ojKFVHV
2ItdSNJnwQIOotlHwy2dKEvnrV2OWGTpFOjX1gC/wdlRIMJIYbpoyobFnb0G18qUNMcavGeL1s3b
jkuTbHN7NsAuic6cGz2/ZIrKuoyosi8khxTMNg0FyGGe3Idzl9wjEiEgXkZFvJ1rke+TCNiuJtbn
Ymjm8t0DuHmOCfx/dqroJAjmC3hKYhCuMrFbDKmAxViw1iQk9Rej7fMfi1zKB8C+9IshEAEXIsw2
Vh0TzZDk5M6UxbgTZch5sdAf6Q6YdRpqtQM9ngAFO05AR+/K+6ZyRyKGlHwH/dOgXMcab4tGEiMZ
PdAMkxdiqtaM8qN1c6ac5dYTXS5xv4JGQqfUuCaHuYFUR2neyEgTNw7daKjkorF98yzDmttjXFTp
xikcDzNVyHVOLkcpSJWQefGtb5zqLe0j9+WWHXL1IuEhNRat95miiIa+8RqAu5u1C0dQmhDfOOBx
RfMs42+KeBNrnRRm9iCyASOobUbl0elHeAoosWcS/JnewqTxDSPj2ksRha3MJLUeEqlf4wmcL5zS
+RrXnh20OptfjrZoU06iw8RoaxbwqJ1/Nnkeb+Mi/phvrvIIpIidy2V21BcrZqXkxYmLMDvVWb68
kAygXWSRLEexhFSOtFhzwJsHofmKfmax0vDzmyjksS4JurzGomXNI9NcpFH/GbU068FlsF4spDFC
LHaJd+AlaKmksj/qjv1CH6k2zQRqISf7FBL4DzyaylrIa6WiL2SMJVykcKUaKsMVtvBp3RIzRYyZ
KdYYNGxk0t1dqjWmXE1dNK9t4abvlovdftGcrzSOSkz2Nj4Ix66v4ZgZLOTt2ZpwW6xc1zG5tLl7
GEOGk0SsGqT68H3KyXZi5uhOyiiWb91UzmveWesb3J16YHAwfLV03RVulmL4zr2yqyRBby2vWk/y
l7HERmDMS3uPAm0JRs8eH9nkemzi3oA/x7wU+H4cTN7GLlEu2DrpsQMVlrjGOLPDoaebhM0MMT4l
4qxV6BxTokSjXFkBnheYqjmr7eXo0i8/7elrQbW2jqNaiFWoaRF1mu1okiYPX92OaAK1svb7mT6v
J7JL3QhWTMdtOIxPzkyLpvdTAmH9lENo4U0aYd1UEl7nEjKEfN9GPIFu1904szIsZluUfX6S0UGD
IZFeMBMxVmdvIgWudh2UxZ+UFQlt93aNc3JV5k0xniNbi1BzgC60MdOZNqDzaMPRejOq+Da5iSIk
cYVSMs94TvtRszb1hMTn0/kpHomxr2sH1t2bqoQipiKvt4SRqDfNqtSjN+SUNYtbyUGZO9ZuEAzb
DjkLDQ30Bv7IsbflwZoGloJxGahuYLbztlYn5WE0Qna9abJ2Brm1DtPOjEITIaj+RCM38Edb3/63
E9rh4zz344dtYG1Bmkt1qakkokPwhXjVE++E8yUz91UrikNCEU3QYZ4mx6cmbQKv6/9h70ya20bS
rf1Xvrh7VADIxLS4G86kqJmSJW8QslUGEnNiBn7990B2dbvct6d9RXQ5KqotiQLBxDuc8xzSp7SU
C7eYON8d+C5iY1lobx2whuuiMVmWGBN0OIMm7/NY82+6NYpHjBYhdW1hdOhfQbGC45XV78sY7MwL
UWCDbVleVVOQs+mCeETW3TSwmTSz4Ba4sPuW5ZrXJ7Le2oVUuffILpGNpkQVQAV0K/4/x2jzbzY4
12dhtuNdltJ0Q2nNy8coj1WF06XsAB6gQ8KUgZryr2npB2rm31WBgcMz/V9UgXX6VjRvf8LEWB9f
80cZGKCmc1zTZcbgooIH6vLHtDSQv6HuDlzXlp7j+GQv/F1v58KWcQlYlcHfZqx/6O/EbyYVpcOo
lLLqgy3zR436H0xLnWX2+3OFRivC/8i58iwLT6XzayqHJupZVnYn2ff5QOkco7+pC1h0cxiPp2xZ
8XMwse0vl8W/s0gAnFSiBvAXYUC5SAS6RSwAXdu8ThH8ESwdioubJExGXPZAG0TR3g0s2wY9TK8u
jEEyTC5IEvLItT6XVeiz4UK1Qq2MYRoJAydgchg/dA3qQ+PQdNX81axSY62gQmL4wBr7WDcouoNF
IhEuYoluIaOiiLouHRsYZwb23ACEdrKgZR0LlaO4yA1XbOxFhsFUEkVGiDajrNB0VJkfnKcm6hPm
JqN9PxroILxF2GEtEo/pQ+3Rl0LvbBCGe2sRg1hAP29o4O4snDHXIYoRjCUoYBYRSaHloifRlfgG
MID96CI38T+UJ/UiQkHZyPws8cQWZC+z2ppd097JzOp9GPghohbpCp9itochkD7pD63L+CF7WQQw
wSKFGRZRjLnIY1rL7j6Vi2Sm7ZjytIuMBqPR9AKNU9xHi8hGTEmNCzYZ7x2Xi8PqSe30hyxnEeiA
sx83fRF5u6rP+j1KGn6NCEmPXMQ9/SLz0Yvgx0D5gxdjWgu0QDaaIBmSvtIpfILpIhhqUA7li4TI
8I1jxvG1iXRJcbIIjfQiOYqCpEQF2aqr1pXD3l2kSfYiUiLIFb1SYKBaIfkzxP89J91VtUibIogN
r55mC4wbozpBTR0eq37QlyCU6hoplXnNcw6tFE909SlsZXNOOjN7lKWs9jlhPAyZmTIdHIIFkC9m
QtzPDLivo0jOu8nz4CJQshA49aHaKhYBl2pAZbiDMu9AFHgn4p9QeiWL6KsbR8iJrpsdpkUS5i7i
sLxy1Wvne+pFL9Ix/GPOfb7IycZFWGYavbiyF7FZvcjO2kWAljDEwnjYZEeUBMcKfwnUh8Lxb2yN
Zq5YZGx6EbQpK6sOzHexTIE1yHbDh/QNkYC9iOH6UtcHAw8AcTftW9wBIV9Ni3zOhrD2plHUOYu0
LpqqfpWjHDqWOpQ7AuTwHnoFu15UedMg0OcZkbRfPb+4lL2Yn5tFxjcvgr7yQ9vHZsA4OUaDszIQ
PizqftEBDosksFnEgSwj0AlKIYKvKvTjfbHICKNFUIhBMgd+YNRbE4zaVbIID4dFgugSpLDxJXMh
TzTtF+HTtqza1Lq0qBcjGxkjk989mc8kx7tMfFZqkTvin80eHBSQLmaXkxvOxVGmeblpqo7Z2yKZ
BEwH78jJQ+YlQm+8RVoZLiJLHvby95mB2Vqk0OXnRYyZLLJMzzTGJ49YsPvKzss1byj6zXqRcmrX
qu6MegTricwTwzuKiyDYOW2SI3RClkdgNXqq7L5fZKLGEluaLtLRZBGRFmidm3U24LgsFpGpWHRW
lN6bwRw9TMVIUQHXdMY29oT/0n5oVasP3eqwSFiLRcwKLindG2MLKX6aHGS//egGdEUDW6hwwiYx
Nw0Mq67zsaX0TxE7BybdKVFpWR1pjjniurDj1eZVVOnqeipCc2tZzOftlKBNvAJii5efSgqt7Tqo
C3edGeoTZa55zMzGREebaFYMafklc2Nky2Uc3Du57x6bxhmx60RGe4+nBImzh5sX/9QbsRNoAVgz
35nNgvSpcmHe9H5prv0wR2Jm+5m7zUUZPAc8NW5mGcefaOXUGXTMZzJf3QNPxHmN6QajaiQVt9KQ
nJsE8ga28OCcd7K+Y4SqrxNz0M9GqLKbJs2rbWk10c4KgGHOdrxgLrT4lA65fcCML7Y4+8tdjMjx
d9w4HYKmoHqT2EMV+OJZviw6hKfWtno0aCoNdiDGoz2kaSguUwRfwwrjO8ui/hoCYC9Q1MdHs+PS
F7Ezb6aprZj52/6Vz6odE1BWxrfCSwZuNCgmgSEdYkzNbt4Dpuj2hRrbYxrM1VPWhXtlVck2nUL4
H72Q26rv6U9xj0I87IxCrpxo3Lm6hPPZR/YpIIXwMxw3sk/oyVe9xeOWXdV41TCdPDBjGsFk6Tp4
RTKjNnkxmC9ZyGCCkwkLbWtvJtt17uYuMb6yucCO1frGLgfQf2upIjs6ksgUWtnmPsMf9BQNfriz
TG0+xqxL+HFeiPl0MqA3xV59U0/6S9HM01dz7jj+ydKbGyRzMtqPYrA2iLTFskS5AkRlkwlX1Gok
2ascnBwXfrGw0fNUmSgBzZpnf5JEl86hEGHFpjOkWSJo7zVohEMZ85FejZUHeWRuajKnvNDXLM+q
9NhnMIXkOBhnZefbyS/yu74v0kPrdK9OTfQLZy0uOp/O/Evauq+Oit/MsPvmZfOrX44P2PYo4+eB
UEqh0SAX3rSttbqA+65OVex5l75K7WdUhsVXZkDjpzrkC/sCvdAbCGYQlKcq4rfoTpUG3tzuM3eh
OF5TahUROj0wWM4W8Vgrt0s+7Xlk8Y3Kbez8O93qyYVMEn7r1ARTPCMfJXilr7CZ3jAtW4elCVeN
qmefx1V5rSptlK8VByi1V9BvrDGEgc6IPj/5RlpvmiGxNxR56ZUVTQX5Dsp7JVUAlrsXRsldSKTi
lRc7Vn3pWPaG+2xOgWCgMBrmkkSK1knefTYOxpOjQwAAVtyHBQMslZZHvQCeig/UU1CiKHObTyjx
gcWBy9yYE+9kG8lPo2EPBxf5DgSwtmMkDj2KvBXKySxGHy3PXQAJgsUFLJM04iljeIwEqUWeijnO
tjGBZCeeIMZjbKjozIwB7kxhTTeIwPVNzbt5moHKt7Ea3mQaTKc6gOXRSKPbW4CcQS0t5ZaYbaSU
jqivFEvwkKQWd9r0rOkPPlKtNUhYtW8YrK7JFAJXFTebRBvRcZZRCwglROCT2+qEe/vsQpNdm55V
sX7EtDhFnv7cCTdDGuVMe6V7MJxtE2yNyAy3tcpKGAmywlEQsyZuEe2t2Sr5h86ETt1mdr4HK2h+
k11IGV2lFXA+3GfCenf9wvU/NWZHatjXTno6dZ5CjSa1XZPjrdCO/9XE/UdNHHGWzNH/eRd3LIc/
D/K/f8GPFi7A8eR4ROItarC/i10CGJ/MPz/S8mBsug6dXVHWbfy//0OeFu2bxVyK4mXRutDZ/Wjf
pPmbYKzPaAtdGfp6vuq/aN8Y//+5fTMD8p/x/iDEoVP0hPhl6M3nre0LT/knU+fjlUEgCMBnO31A
y5q+w9efjwNVsbf2MifCCDyF6Q3Ehfo1SdyGnanXGHeE+DDdjGHs3EnRhs/pzKbuSqtx/Bq3Koko
HQVhKGHBKnfBMkQ7dNJoyympnyenHe67uqL7qqc8A/+POO+97yfn3OvOf47HMqlXM572fNX6OGdB
cMDMbVlCQ1tTx96BXJjEAla6WwQO8MRcuO/sU7LfC9M7Ar2cb5Jg7D+1TLAe0tDoGKD0VfgNpkh+
S2jFNfBddroIk5PXORT6TYZR/2mMiFqywTt8MxA9oiyPHJxa9eixB+gD1DuTaFjaReP1jFkULmUt
p29ebhj3ZZEMMN/JCr/pDRvKlqzwGCHYxpg8lEKe7ThJIZWy+wuIqejit7mKCobYYbN1+jB+BU0R
jWvh5/6+8Rww7mSBZ4+TFce3LP+PTkkjcFBDFu0jfMyIIWW/N8uxQl+Z5y5JDBTP+7mIM4/CL7Y5
VWjw5lWcIljYFLIM3mGAjNV6QgtsrumrwTOCT1rbYapPHcjUbdJY+FaBIVPTMZ67qvGmsnNnK70i
RMC/kUhv2OH3XvfQe7k+RFOMGcYwGwRFod+uA06eci1nt3rU6NFPlucbTHJHLg4GWOTUVZHdWgAc
zZUfzcktIJ2Sqanj9S9ZRxsCKaL1r5CcA4SN54lOEhBWgILEDdtNlA/JNmug0hRMFNechXpaCbfS
OINGDOoEX0M/TPIlxDWGdIT/9FvDd+kOZjtrgkJ8UX4bANNJLPdzNqyUnNuvRY2C4ABTI0P3PybH
XhQaQN6UCBosF4sAYbd3kPrwy1aFQ6spaugJAhUsqyI0VKOyhtsZD0LyrM00HGGYGD4CfMBlRtvS
E/cKPpkX3+U2zXv2zrtrI12N81pxbaFgAUFg+F7ji7sx6VnCGyz8wSZnVLCyZNu/Ds7gIqWwbPLG
+BlhA7wsmx9lA6RqKFg80cczIDiEBWEyRgn7qeATuu4ZEZ2mlpSuJqeHMhJRrxeHIZUHOemFRQ5M
APavgTvKINIKd6TbTeQYt/aWSF7yThdrcZZaV3YbWNelCd5mJCHClMGB9sSBJACyAVKTiWekmA5U
MFz3pc3NV73EtYE/njtQFtq8MZxycjdN04m1INR3p5K5PdkY4wBzoaUQYzCcO4KtNoPOU3ZbXYdY
OJ/1lduAuLCTLgcKWki6udJ19ngD2gcjaO6hwWoU3ck3YuSfLINjIPPTdx/U0yZxgQ+XKmkuRgeR
CYAZgQEFNZ0aHeuxlhj2Vn6O1CJoZLDCVQWrH9zFKhkIjuttgkL6DgiOLJ4DWUMnAHLDJkQckjZ6
wLYWb/MS5gYo92KdKBMOD1Iy/1DPbo64njxxIymHiynAoZv9FACJlTOIIbcHF5zYD27VNRuOp3SL
/seh75SgWRz8Uivk+921g+Rkq8dkPNN8z58E2YUvXk6PQI2QUdLGyJy61rsgl2TUMQDz45BqOFNQ
HHBWKic0qK5xQfHJx9htpnx6VUE1B9U9+z2N0JqUs5SHzgiS82ARDY04jI4htGHhtQWt99A40TpS
qb6Bcq72Xp37VynJBnRZWBki1e9G+rIVfqaWLLveTPkYFvH9gBZuC2qkQP0VZVxtWyR8UNFT0OGr
iYeILxbAF73MuGY4UJyVEze3SeMP773pGFuKcOpW5P1b0we/kkiv29WNn78gLPLv4hZ+7jri7X9J
8FDYTmfgjR+LWwuq6GbKIvNCDivcv0m2rx450o8e1uB7srvgGVva3GWV7K77ufWPCcjnlJ7XSLeM
PTMO3ViRnyZFefLjRryJhltaCD1Qe2tC1ayqYazoWLe0sOl6bJEmgnabHqEV0FHlhqVu2p70FeZS
/ZkpJaS82MHomTQpNnufIzOLbtlnJIBIDHVnpJ1HLEbve+uIM38jkhbVYwg54AR4JN7lqD9vlJ2F
T3ExA4DLK6f5jJJD0csYvTpj/28ODYsN+nhr/ELhnAIYreaL6AWkrjDx6lUGOTki/KB50tFgnyne
h/M8lEsEsWsm3G86fnDcjgigqLdJ6mVXOA0axZPLyugTjX8DBMod7+KmZD3NwaQPPNHHN+yE2UXE
EuF851rjlrljylxQzuuEu/IEe+O+JX8zQWonrLZ9AS236FTAA1qp+QIUlSyKcvRq9Uki6ynQH5Vu
x5MoZa13O5cxsIRCdPm2s1y9mUQ/5tvKHOd3HELuNkwnFG0g3LxVjDW8X9U1I7Aonrr9YOaXYRz1
XgGz3nKThkfeymyD8TK7F4so1Clw0UXwerQLKPGv+vg/qY89dzE4/PPyGFpoWb+9lz/jBL5/zY8K
2TLt38yl1qW9ci1h++xMfkjCLTP4zWSrgNJC/hB3/61KtthkwB9AQBGQN43j4m9VMpR8jPmg8+EL
UCPxTf6rKvnPofaO6XvsiNGlez4/jifiL2IXky4alNBsXPmEXSYBw6LAn7qXuifitT4lZg4IAKyJ
78fJnrEhm/IzCsd82EY5Ux+vRbE2ySo6ySD0U3FdGDbFDM9ZMjnMBGMNK8JmDyMXjvoejJaj1NmJ
hp7Dc+a/hlA49MzPIqGe0TVA6KjLuzE+W/Akpxnjqu8Zq5jZHtko9IT5Cek99v9UDJmaIGeHvfkK
YSNs16XbkqD5mOgZIczWl9Hg3dO6d3FwS1jJdjHwkZ5OcQLR1OkKAsuzrp6NCXEEO2NqtFLjgvrr
U/OffGpsbvV/uRu8WZrB/7d+q+Hb/9lP8eNLf3x6POc3TknXIyXJwVH10Uj+YaiQvwl4bNJEYLT0
keInpRgrQgDrKD+Qitl8GR/hv68I+at4IBBCIU3iQ/nffHo88x9UThaSKjRVbId8xkjeLz2mh6MA
TTHPPVxzEFtR00ITmJtIDxu7r6k82r5C6+ObXkxmmz1F8ljYRUCy0dwgXmain4w7vBg5Q1UH5unB
yBiCL/EqRW6uzFg077kCYjmFMZv5srVu4DPLYyvJWcLYkOhXstnEsVfw+8GUZgb8aODHHyCocxCH
5WvR+NUrI/Sw3vK4Zhs+MIM/W7Et3yAhWDd5sCTMlgzmoJ6Wtl/t7cyL622TGsuXiJD1IMLm6c7W
bfDcsWsgC2ZJHFjBjBofotEJnnNljQ91YotjmOZ5uBIVD8DbyIbaCHujLn1ieLzmvfFNi7zQPIXC
F4Mcs0BCqjXLrPFuInyPj3UX8GtU1KRYg+2oPpj4WS7AWpw3zx7Hu7I0uoPoY/E044+4K0RZHxph
MqkjHca6iWzN749FKnxOXOqDtdYKepkH/a7ZV8HcvCe14grQKsJUbLLqVYR6Ue6Imr8mR6u8ykvH
eZsivo46kBfgWAOvdiAN8M7EaXJJQrT0GD0Y/K/cYOS3hoObIQoW1WvGacm+KnNmdm4YcG9cSShd
EXvxjUiN5IwtE9booMbrJFT9kXF/yvqVjgjT63I9yZ9KIgTULGM33Nf8l+9vaGZGTDJ54AfPdre8
w/3UodozWXNAgi+n8TzgHLPgbJFetcH3nap7g4EdjsYp4bvgUOVPv6EiXztZx3UZEoPXGI+kIAA1
kwZ0NsOL0Cm1uUNyZprH5qfabaTYoaECl0j2yLc47LgSZl8Ez1M2PDDWdnYTkAu5Jp+buGu7Se69
nicM025trCsrty+F5AZc9C/ctdgldunIpG+HCIbvNIc2f3qUyYpXwk3UIp66i92FcOO1PXeDXaP3
Z7XWsg0OJkcckTF2QAA9ryVkFL/HQwR+Od6EPbuNlTdU7TuiAYojjMbWTYz/YkA9PvIGs8oGGwqS
qyE9IqkwdhbI29Q6pWnPtz23qLuy+Fiey4qZ1YFkcHE0kt4W5K+yG96puVMzg/lwfBAmSaYr5E/c
MaHVNe/jKPmR5H3w3vXLfTIFY/XKiHq8A44vjjm2hleE/HyzVptqjwgv2OI0Vfupx8pRSat6Jd0r
fP64hZXhcX2BcV2Vy4c9WW7S0O3Hh0F0XJLBjqa7kQ30XT7b5ZWMSXLZEZsRQBYJuHBtWQmxZmnP
DdPhR77KGMpzBywfiS6r1H4Zz+v1hPl7j0RKsElV+pVBT33QTpWTV0XNe5FDGT4bwFAhcDQJk4dE
R/k6qz0+nG5JZMwM5ZggP4eucVA5v46pJOFcI2+oNif+Fuky3GBEVBgEFRPxSp4kGtfebvmtzZkT
RCK8PZIKEZyHMgvOsyYictWqie9QEps8kxrsQy3tPCCFd4BosCYZdTNxnjIa2tBEeAfXqXEuZElw
ZtdjbMQQG/Ui8uH3FWMdDbu5mTrEYXwooJ3UrNJWbF/Gh9wuByBtzVhdR0lH/s2k1V4wi3mAsS+P
foF0cptb7PxIu8/lMaWP2SQtR4ZphmxiAfVxBYkBf6i40WGV0TG8pmaoD+jQoj1djn3x2PXcuClW
5B2FUz0/NtSH8jB2HJECS8oZGR53lBGwctxkxMxeQpNQsVNUesRECDJ84lMeJsTKmYy8Ommn85pN
SH3IVCjfGmVzNFvhxD0VEpmEZc+deVvrJnPeTCCMxAEWlnXR3WRdiPgGW5/WBPWucGlwv1hNi1Wk
4C4doC+4wIK0daOAxFwgrfJ6kryKwm3PIoFPIqlyE1LNmm9vR2HzHqWl2qvY4e5GcXwRy71X4/lO
rmTV1YfO8ky9+7jnJWMG0Iwtv/PaBlxANqDnQpBRffDsOHjtt4IEC+jAgwVFugc3NYJfAOi2qhsQ
gFkslvtxQXWvK+0Hz7BieCO/H2nM8WD44YfgVnJCv+6OyFO1scLuNNTbyjKsO8k0c5ux9mVnOHB5
RUZsx/KJy3tfPg+AAGH2aKeOwfFyspaw91zYCb5+thThhM9DFE3pJ4fuT60z9Bz4ePpB7WXcOm9B
hjqOjVx+b8WdTRhE8V7EY3Csq2p5GEBb4OEMGwrGAx72m2FGHEQ+JkiLtQ91Gy1aHBdWfGtP8XTg
+BH5gK6EfDfQliSaWmu3nIOrvGgwDNleOCLsbVSQ3c9J9ntiqmV9BLsgeuZRWh+K1sl5iwrmrqu0
Gzlr+UwCpeOIKVfGYNOns9N138sify4B45+CcOzMAWHmMFKHiPpiSx9G0PIgarDnXJhkVFc8Y/w7
q/BY44Q1+SW1FgSlW1Z7g/6+vGq6LFqsjfGT8rSDyrMIP2tGa0iT9bkxA2ddgy83PQBDSLhzK0fD
3LbTsYm7igDxoM7DOzMmvScI2k9w4ncVWL6dwXrgrpL9Ksm9h9CWjvlpcrMK4KJXgrQ6WlaZc6om
fMJxCLBMNTt7UzHh29iwfMl6b1q2my6yINID7PxgWTpiJiYr8szROu7Swu4ZI4EOMzuyAR1GgrB6
vWHqIVBXBBxOLjrrQ8BtWa+jplsMTl4cXLVCzrf+2MJ1TgIec+xsD2o0iM7NB+uJPh1eCFiAWzWn
/smzQ+5eS1KUxH65ZahZYfuqyFRJUq+7qsfevPZEZIpVYzjjWybL5Gny8ieZeDo7Z7qR9zqFEWq0
eI+YNdcB6mfRM/apgy+xj/a1GTB4ztxkW02Y98avp5qg7iQ4mL3uN9PYkvvsV2O8ljJBACKa5Nqv
42RiAdu57wmy2N3cDSHPcUUwkBqeggC4SApNa++Fw+ceKq6jEu8LG33U2M5UbMCi2ztIw8mKmNz6
vgE+R/lTuFsED4RbdPbFSDxSTga8WbCSZ5aIk7MmUiDflRN5mGHQe+cqUHIb6eaig45YhdqlMto2
uS4h04ccUUTmrp0BmUJE3XDq8to6weI1Dg6uIrQBnTyXAvYKFw1oc6qdR/K6oYJr7W8NIqZJu2T1
yR2S3mEW3HhUncacWrc8BNiDSsIiI99wj1ktpvsI75KgBzwgBqn3/vKEEMiB4GUE3QHuHdgJNRmv
TQh9LKnq4Jr0r/tO5fYGsJj5kCJCPpdT1j7Zo20wxqywBBq+x9eRlOp+afssoC6x7flEGI4GA9GW
L8nCawDMlPcwkHM7vWBLxhU3CIO5OEoTnrweqBq56zySiJOSzKsBy/ibkeYvo6FxPVmkfkPrrJud
4XHbEPcxmKSjt93eDHGWOX6qkfcpxB4ASvYh6YPHvgDJHEdyawN2wzdosqllf3xE9ibewtpkuRCW
zfhCRbyluq6pBJVZbKYU+HurAXuEmhOFk38ZZi8EWkPZ3sFsRsH+PZs2jT0RtDWQu34GQ+5Zq0p0
CdP1xvVrrl3rmA8kn2dwT0GFT9Tieh6TBxVa5MVYSS6zgzc3PSzddIx2cWJjd2AYSWp0TxZ0RCxJ
DURQhPvWjQ0OphqevQ/r69lIG5u0JDe0XcQqVrypq5YOJNZbD0DxtYJKu1GiHZ4rlzTcGVQei6wp
JTKvndGFLZItoj52Llz8pyEafW5xkZfSOClnKfw4SHMVfCUoKjqzL0Pa1TafkFx3V3ntXwMHb9Y8
vMLHHOv2SzA0bk2cRBC2p1TrSX1qmICbRyjDQXsytMX2/cCphYImEJ0eUOgbVE4RjVt4G7bBQDXb
l7Qhjir911BnHOphkgwVYxSQw0G4Qp8wi72XgGJ01nYmDWi3jWEODLEdsxOvfpzz1CU5cBFTKnLx
dt4QOvkVQYX89xTwH7xIJ2+Z/RN3UW+djho0Rs1F0N3QUIi4/TJVUbrKphNxY+PDZA/WhVo0Q/49
UJZDLPwxHPmnNIJ/BF98rI4dbEK2iWTAW+S3PzmE+iBShjD87FDAwq9BwI9ds47dlKVkzbZAr4sq
L7bu2Og34tqnB7Y44wPDbnq3cqwf8kJ/H3L+81e0dOvfiSfH9//9H8Zf1uIek4JESE+g/v3lFRmO
NuaOE58wYYMHvmu440PLMOG5oTknpdxYGpfBtpt3aXnsz3oqw4JIHISvQG7UGoXgUj1Tkv40U/wh
Tf6ZufKxqv71haGVRhDtW67pWAw0fr5UHvon5LE6PlRuRG0RlVTNKDqGofYgtivG+Y8V7ht5nEoK
js0oyiY99dLuHzrZw8iM+8VshY+XxJiPisbCjr8n0ifYovak8FIRoo0sBGmEh4guvQhM0P4GabQU
FR5ghmt2a+3793ZC5cP40CHj4faZqvEhRsafEFM1j3fLE/gNh3twRoXno00i+pDa9V9fjmUm+eer
wWQRgSqjF1TF5Hj++Wp0aPhVxbCeLIyAV5kT+Td+muXcNS84fme9k1hH601ZOBkhyENK2favX8D/
cetKVCjcL5JMA14FIoaf348hdq1yttsI8WyAeicsmogExoC0LoTPDfuYFsf1XgkVR1dthSATKkXD
5rNorYtvdtaNLMEif582/tPb9/+4LOhMBQxcZsrS+/XzxFYBKWIio0Nh0DQAbWOBOqqSbqZnrAJZ
06Zm7vKZstroo+r131yT5R785V3hx7vLPzRvTK3/fE2KCd8vogquyZTRRCeWnlCSN9rPE96QeCJm
Bn+cLy4pirmjtTRuWMVkctVL1L230p0IZSNDoI3iQ7vMXkg7KZJv4I7ofguiMP7N5bJ/haHwafew
ESBGWayo/zD6ji1Dq6n3jL2IHc5Au0RacPJR7HHyjHwGOPjRvtt+bzwWJEXMKJNjbu4JceTjGLh8
5iIB+HTJmczWiJH5Vz5y/IlKC0TBx3hI2NVyZBBOPp6R20XqULIgytfKq/poG/Uolecp56c7Njsx
WP+YnFawj/L3j3fnL6vyvzGpAKj6l4Poze/Z2/BW//7z/ub71/x9As3KX+LQxRFM++GiMvoxgWY4
7ZH943DP/7Gj+SFyEgFxxSxtsPdyUvFh4EHzxwAag7PET2JiVLY5O3BS/xciJyv4h0cWGyQ8L9Lk
MbRYaH751KVJH5OgG+gDrUv8AuFlSR2rQCkS8Ipumzls3u4qPd1lpQ2JJIv7NQ/jAKOsWe0wnRR4
88RsvYSqI3uiIJt1rQJz+H1sXWPj882RKOO5yKIWfophQAXIPkuj9jeCxMxdAe1mPzET2+J7Y+3D
RVQHUsOcx4RYvvOISJsUT4RQiE3N+cC2NpTrMMnrk0sgz6YrQ0xjHqER4A71Ci1pfQX2hqCAHACB
MTrJfuDFAVOt3erozew8qVHbh4JBzYmW+DMtk/Gistzgw1rwbGMfvkdQGW0J5sCrh2X1dh4byLNj
c0+3+u4YKb8kqU0MoO17aVMRBozsN0wXjVXC8bxn1vqtwjABQDMgcJbczHbrVHSMjL+rnZ756axw
711BXqXy2usWBdiKJLF7ZfkXjI/X6L8KBprFI+ss6zwOmGaztKDBxCbJHzl9Q36WfvUSIgRYz1Y7
YguMPge0t4ukGXaeuE+n9LN2Fs9NWT6ODGtf04zkNYDWMR1C1cEtmvq1IgWXW/AyCnp04g1XaUi9
3nd65Tp860BTpHuzZ94yfTZ2bZ/ih2uC7LmcOvlsjcS5oGSoiPwDhMQhCai2bQFGmPm3Zq7uTFfO
h5CKuIXG8lZKJLIY/Zgaq5BRjqiy7eDb1V02OAfC5nwOrVbfTn1cv8jUv7iNKvdUaWoPygPZaEhK
zewF1iHQrr+tM/+JDDUDxIcYniJ0aSeZ459ae9HiwA5CUlRMYorWnjbFfYtb+CZXOrYQeMeQQkty
8bZZXDwKgwU9aL463sDbfIALFewaP8TYLWJ3HfLJWSWqVwugv4dsO+pgzxwDhXRUWdYqUnCrEsvx
kd/1bgkTZuyuItT73W6oDefJk4O6krlrfib5pN80+MbJvkoISHG4luXO8mFAM2ucTLLRcNIeSyT+
BPUl7fTNKHgq7NHqlOG3KfCG68yu0Q/R2abbjIKthoIT4QNIrMe/Dvr/ZOXoYfj7qWD5ByYFG6zi
96+t+tq1P5/137/sj7MeEBtn6FIW0AKw0OOw/eOsF795nOcmKz6qhe+PgT8UrSz4IavZvosG9kei
/d8VrRzKPCHIrocnwUT0vzns5aKN/VOJBYBsaZaYx1meY5r2L4e9Y094JklfPbCuszZ2rBCIzwWJ
kOhQJjf94pucGVXJkVV0BOnhg4XyPE7pCSRwxSjWv/i9n56MrE2vgfucmYTSkhsu/qqacAwTJpWX
9AHgIEmaD0aaHWFJ5gbZP5livobvzpJhDXMrWHuBfV+xfd+YcKhg8PuExWmakQhj8Ar1d79OcBjz
rNHkgKTNCxMRnAxMJDWTuTXk5i+uUZmbLOevpxbC/rL3ajqq+sVikQpqtherZEYzlYfeszGYD4mw
vpAUBibbqV6yUn1DC45jvvQgx7o2g1jc/XaxTN2qsd2atX5xrWRJAYJXMBj8ekXU2JRwnKO94R3r
2j9y3rfbsOHSUCBvozYXqxkSsg0MaOW6XMrSr5uNqfmmWc8lkPj5+RW4DKZ/zIGobRiN0viAjF33
lcS0FNqohmKb8CsJboKk2WzjaujVfSrvB78jloavTCT+axUAw57txRE2cQmqTPCcaa2Z0RRg/Snr
UYLyI7Nodq4cyTOmGIS97TQvSFRuujHn6CltAgSk3uJzKotvU6HLgyY+CyrPhBcmncBDBln0NcwM
i+sQXAITU9zHmd+YSYJEM+ENbn0OVHLvSE8ImkvohylgDWx9TLJhzc08tUHripUgT4cEFw+6tHH5
uElQp2KYk7phDs99gLj3ntE6pG4zuAxYOtfgevp1bjr3veJFRUkqj1jekJgkyAOhS48nDxzxtq+W
u6jl75qBd6MaK/3/7J3JcuTIlUV/pX8AZXDHvA3EzGCQDCaTwwZGJknM8+AAvr4PWFIpK7tVZdpr
I1NJxZgAdzx/795z13XZEj+/FB92YI/8TNxYfQYqj8rizP38OXopNhqo46tMxW+c5rn2M/8E45nI
Y6EVa9W5kIiGkr/J+ZVagbtPwuW61uvWY1LSPH1d7zwk7Wlg1uN3iu8bRtwyzpL4XSKrQwDmZvRD
wk8WOXc1AhQyWbk7XYdbBaY8qWgoyh6yiH+03eTNEItqjCPhCoNMfO75uRzT+QZTDwFKzTpx6Msc
lZvP1xHeOp+h+JOT8oK2wxV2e24mWpTnrx+jqFgUSuNfZR77loNFAbzoENYrW2tjAlj2Yf0HxwlX
5CVvYTfLSgHPhynjG11VbeecsPKG3s86Z0a9Zs7NZwij9spttXGHV1ickK4zI+9muUkdFiWzzlOs
kmLJ5+Yuw5zvA6pIr3nM62sgd/pSD2b4ssJsA0b9E8hHfDdEQL2X5WUk88y8vpeb0cxcSjsKirLH
1qrnXG4z8lLYunqxGzHjbAaxLEMSwf2va6vlfH0tKE42vWe2EG6Boqo9n5keSWLLXf4V6FHSid3h
f0NXmpOYbRuwqJRGCfN1Ayx3OEv8DtUzlc3ENuYNrG8TXDXkbi5d1ysS0htuIyblHWoIEbxW9Pv2
Fg0Mf6bD5Re9QCvtGexeVvyGA4lLINJPjJwGg2hWj66xmnOj83xZiOCoN31xomM6ni3yCV2VvGlU
FZS0FL8IbpdnPSuin3VtH1qsU/p34oRY2tvSpoQSw1DupLUe716wfREhiKOezUHMKFpHc+dFxN9i
xOTFhCKQrDVsn/hmY900FqlsdMcPyqa8dQoaUWOc6zBmLGOjZSGbYijY3FBqrDUn9XZBL+8iIKO7
WRTTrurYTBi0kB5X87WDgY+gesEqggq/RyTFfziZ8fveJD1otF+LdiD4GlMs1TYpULcWyR/rxjLv
5LSAewLygC2Mpjx2FDdTPVbbFuOTD8JaX0e1znHANsdz76SfKMf4aSZWwNdvDa40JfKYl+wF19Us
7HRjjh0cQ07CoOWtmoAQLbiV+NLWdllnOzeoP2uH/znvEfUHVkUxx35iwn3eiqb54eqatSk0Efpl
7XynsVvC5I5uNdWfnbKD9wgs5zjFI20rLYOSydx70jcyVQA2ilGDE8F5/wXW9JLDQUVgbzxG+DQw
5iZ5k0k5rnEoMuSKdfnNQnG/RuJbJdcTM6NjrHQuoaED3UPdT0zuJtHrhLy7uLulE28valOKP2fb
tONAgmvaITGHatRu8H1WzP7qWjtWQf+qdWX5DrbphxlDFl+Fxph+urWhzTa7xDzDzfdGpmpFU269
PB29agVkjul/0rDmE3PQ1iGPorUUbnDtqXLWtkQ4qvaMENwl9hGiVb7vGB9oT8iSiK2GwpSdggjB
BbJTcGk+mT51fLYGW04bxDyBRvgm5UPk2N9+KsVuf28S/dzf/LVzRV1j2rSuoHrh/fGMX/quxPLK
2QQOtXfiadoBRv+MUx4uBsHufQNI30J36Jsxd/pfv++vLauv9zWxHOML1R1D/6We8iB7T15X9Xuh
vjY71qARp++F0nAuVOnnX7/br1qxr3dzFleUKTwdjNmfG2RkQpPUNxf9Ppu4QZZKwMO1swlxkP/+
vf7b7fmbbo8nDH7Uf6/WBVDQNfGP7n/Kz/9Budvnb/GfzG2///0/TwMIbXX6PS7iw+UwILme/zwN
OL8JrD0wmw0onkvz5w9/m+EizzURyXqoDGl3/Kw9dH8jTQohDtrdLzXjf+Rv+789aF23UBYLbFAW
x5Xlm//cg8YxkgpACvo+JcY5Dz8Bht2MU4ASYhlKFHviXo+wd0Cl9k8ipb1htH+zfJYT1p/OIxSM
vDWyZoPvLD2x/P8/TXBKcHyV64Y6WTWEHwXm0+RVpxYya5FDUwIoreMkWHu4wAgtC66rKkRELM1i
o+SzSck5RzznNQBrs4b3xd12xBFUjjjXkR2sTGtYscsuveplfv7DxFu/ZEX3RbQibJugVqz+EYhZ
0Jnx9NDO5S7OIXxpm8ny9mbZUcCFqX2i8ikmxuUdeygaIsNY6zCTJ6P4PrnpquGe2JOyu8rxOjFw
uAp7BUk2me/MDhegm1Gqu9o1p3r2dDht6CJPuGvvaD/0GzKtV1LDkm17z8LQNm3ovKLK49ACQxqm
t2/aZLjXOHCiaNOX2Rq1P1h8LIha8C2pkaqkLfqzrnqhaaXv4qy/DVuHGM3ibQaA1yWpX9sq2xGW
7a5Ux+gfZcqPfDT1XUrWI5E86kdhhqBHSUcqWkVetl75jBp4s3kbp8ZNmCeh/7Vk/ru5/M3mAg9S
N/9qdyEpsQn/vKH842/+saO4+m9Lo9YDIiC/LLOsl3+qma3fgLqgenMW98Av3Mt/NY9xyDL5oh4i
kYDGlPxP2gnsPb8u36WPwYvptgBXaNnLA+un5evJsnCDkgGs4YbPKo1GJL1pueEh/UR6+H2DEb3Q
+/rJzcXTpJRAmTBtKVqO3eS4m1mr5cEA4HNoM29eESNnHYgEynbsBdWaHBfgFIPXfE4BUR5l5FD9
uq1+wiBTvdDU1i+anOQOE+FXZgfBFoR9bTFNAc4JnQutafeW+GL6nWS8FCpWvFrPAkDWuWk1CbUB
qcVR7xq/HvKbqZXWquowtiXZeGhaZ76zmBytS0c5vphU/03GHip/qO+HKGaWbWriDmaytYPN/Wib
OTo+xUpzUN5dd3osrhI8lLQviviWjgYjc7AuSI8cApiy7/2ITcwY59VU2xaV8vAKYIxGgDGodYPd
/S2mQ32VKoJMDOKnOd3X9g4qrb5pzIaEHuKLfUWk+YZm73uXjMbW7KHYx6ltLuf5VzlMGB664YhK
Nd/S+lTrZGZgO3cF6GsHcA/Hx0tet9sum/A2aTfBwijstXrcV4anVqNTiotXyeypG6zqkVbyNvfU
Hd3m/JKinT/FGaK5VeKCj/CDPrtuKiNUG2Zdul8XdfrUz2V8l2KDOhgQvyEXF4jKq3Bo7ilAg3sq
HOuKmfwMDj+3mj0goJrSsYrPKP7VU+AxIgfW6n0fc3LQVrCwFIW7454iLMabVtEKqPvMvXOUSldF
RmjbKpODte8MxOoO2iMyyJwh+16kBe2PDNadLjOmpsUMyg60cJluQ0biJ6eWJDLHhuDH8ySQt6jH
M9nKqmA8EMCdm0tgdstUv17VbsGJIc5S9aUSwo1KfX01MUDaSuUkL44cEF6PAflxcLKQkMusvHfR
v2/GPC7vYT+Js2GPqG6XAT8a3OSlqhZdoCccMHZxOguiieA+cUBDBWwNNAA60ugQkpvjhlxSrh8A
8r3RKRSyVkwwVVO75ist7uz7BET7rekRFeDK7gkNppDZh03JvxMNi/C91/yBSGmScTBEfEMzWBw5
IeFdhKbYr/UCXbAk+fG7RcJ7urfagS9fT+F0AT7GZ8xLHX2r3aPc46lNSDW8vQ2AL16QCQSymS+U
30T6G/k/efVMhDEyT9tbgIIAG9bBGKMUdSK4hJUo4vNEU+w9xrqzE71RfVhjM94GfVndfH2yJEgq
l3ADwctnUjp34RxBKLMay/aNIHLvzJF70FywfVkemcfCKvpvbWIqXDyTzQRq+eKdkROp3VvdgzPm
/ItZkMiDNbCJrDE6TxvdI1EvUWby8nWnMWXi3ebQG1AWTdK6iheEIfCZ8kZVXoTfGrUvs9o6+45I
XD6qQotLEIemcwcSxTyUi7pbjNCKmobpiQx7x9xXAxe1h414pBHDVZMcqLeZyrv3zokIO9JLmwh1
e7qqAyEvgZ64FwUkfBNxR+Jl9KzgxZNMtsC7RBj4FzithivyrnEmhLhZGGn35VxDlLOT8h6ui7cr
mWHgvuVq5QqAYRwu+tc2XYyEohtcv6S8o4NgWieBUjCg7cRIb22HvHyvphCYwchdj8iKssV9Jkxm
QnxbIk1J5nNbROeBUWCvtd+GGhLvYJUvReyCv7Qnn+Rw2fU3qIpuo8XymnXRPk+aT0t5V55RAt3W
GBtK5zK2xhYTBpqs+XvYtPba0kf3RKIlG11gUdJoK1lNpe/Korx0PMd6jLIlQJJY2BezSh5akaCO
HtjDU+GGa9upDJ9QStOP8+mMOXutxmTdBuXRKJzgVnTaeCNGshncMpxocbnEAdhlSq/MG8zNRHts
5VQM0qH/V36HCA59QyPeC1gDQy0/6mKAXAkH8iqZ+3ZTyFwcDGn9aEQHJNy6Mz0HLO3QGzfwbYJn
LZRPreb+mHqCJOaizbfZgLM/n4pho+XGtE7IFEgRlMuBSssu73vDNH16lfN7PqDOmkEuWCBUtlU3
3hdJT6yCk+5wwCLQs2YucGyL7Vj3AWbsKT2ltniwJ9wJjleTTzLlB1jRxl6xCa91qLbUmGnALBKW
Tkg+nVaWz7Xem6uxKHXCbHXn2HDj75LJ1hlLBc+6yGufftqqF9MnmsZLFbvOB6K9eG+qWn9xbA2G
XZp+60SbvMItMjas9XYFFsz1wa3gamhRrWHnM+vVMM/sB8aQ7UPQbGKF34pQKloKXnBf5+17NHXB
Ri/c6QxoWFUbIxxiWKCdBHVQzE2/mQdJILCwzxl7/h23FcQzOxA4byeTQ0BfcHJBC7pPi7Ramy3J
ka2Q1UeLGmJDA/Mw5XCGjap67Rlfr2u39dbgbZ9IbaFbXPK092S9xOn1P3RTf64jY6dPdfCgBNo5
aPsDYHiV+gSBa9eNCUFmKnTfZhkyFizCJzfhOVy0xroTunuiPx9uKBLcd5iUw8WxYvGQMtejhmDO
77cIVI6qCyiyBxS+ow8T8QFLcLqCZp9/tExgPzr6Jke0zc4ybAjW5aANW57papu2/G2YGxvaLfrZ
CZLyDhnaSIOmprIyQBurqnHP1VCpl0KfshclBf4hoHiIK/MJrWw84xMwYM7mXdw7pGOgj8Ns5Xor
e0zCE4m3qThimRbjKmpnJjoeomoXCYvOkgi/d/ao3dgCS0VqyLHmIgIfI6MVT3qa9CfHakzumILe
VIkRBH/GrHgMjn15LplFHU3QcSRmWjnjkjr47tVxd1EpOWebuQUSsOq8Qjt3oWsdqBTSndDLGspC
FkB6s0oTqeH4WdCPvhF52D0owoD2YKTqR7vuylXGXrjG1QFn2iGbRjMrOIzOfEhxlV3lw6Ad9ZIN
rBKy3peB1fpV0yV+EkzBtmTozsfK6t1kZm8OjIJV2wTqJrU1/boJyGnLsIjtaonqoVdp4FMzXINd
2ZqatiNICwqIOz8nTUO8S1IMJMupumEmn4pVjLd6S3QixtImNXczIdhgcmlOLRI52TMyt7J2uJ1T
arx0KFueXIN7g8M8u6+TVu1dhu7P9InPTMHaD7W4aGuc51sPBd+2z8jj0AxQoXi9EY41hEbQapAr
YNoXnqDlTeEgkK28flq1urK+Y6jbjWok796Y7yfbcM5jLBnquG6ymwqxg8kIVU80m3Ioww9k2zuj
45E31HA6hjjhpKqP4zEeROv3SRscGEac4rC+kOFBfmjgJiRP2uNVkLiR160TLYKWaBvzxUvZXcWV
09P2HjYI2TNR7VI4JeGdYSc18/h+4TPzhRdaM7z8kEdCuGCc09+Zzs4X4Hmk/p1P1hf4OfmCQGOg
R239hYYmNm7hRPPcBhqdQ5ojD/wLJk0KrhrMFSpZMNM8DR9HwNOaDoE6/2JRk4F3Hyx8arGQqgG6
lwhaLPO6s+anejbizVzZl9grNRCVHbIND+p1BovupnYgYbcLEztZ6NiiFd21WojZMejsJpzkRlnQ
tN0BrjYKIPMIS02x+4Hd9hb+tlpI3OHC5JYLnZsswxdz4XXXdKNf1cLwjrXGZGQHOSvXIHyHia5D
2WoLfxhiUBwLCbxamOBjB8xPdxnNLbxw6LFX80IQh4T/7kj0Iibu0rNNbkpWmj8iRj/EsEAgn75g
5MkXmDycmu5NNxXmt9SCd7EQzKXbmntjoZoz1LvXh97TmbsOM9DzoUsPBKXS6ZxnczqZcQPhcSGl
Z42eXbdR/oMDKMlcpQQES8+B8SPeDqK2Aa7XC3m90+r83RkWHDv4pG7bF+AymoXWTvlib6Q00MwG
0AqpgS7GQndnMhQSo7ow35FaQZ9cOPDjQoS3kcRdwYItTvMXML6euuwmJYrcIvoQonxR4zRY4YMa
t0tOK0FUX/h5joYldUDmue80n9g4htASl3ih1jPuJVV+IdnPX1D74Qtwb3/B7ntdFd8Kiv6NJWYX
bmNXbls2xo0r5kM8MZ6rFIcsKLHpOaYN9Cw6tLR27aB/soqIySai7BINT8ktFFKUJKWLPLaIve4b
Qq8G0xRqoGI2UJXwHJwnQr2gdadrUJ7wZup2+IzaPN87RhfvG9JAQW4UH+kIx7KdAofjY3tKG7I8
q7BxL3auD7dI+KsLyvF5nSInYjptknUSlihoAiNek7IYkDMeP3DwC7A6RuUWsK97yECVN7+rJf/b
9fm7ro/xZTr/9z3lPfrBOP5ZUyJ+/5N/NH2EZdL2pVPsGJZhCcv+l6gEKfdvEqmuYATxu07wjzay
lL9JpsWS5oxjftGx/2gCCTrMGKgYWhio5v9TUYn15x4uNDds8iYnJEmuADQ295cmEMibDHNLKO8R
r1c8c+a8JWJeIH7x5wwBbGWGzR1Kk+YHrElJAHOqXSguph3JQBND6JjMh6wdF4JWkCkCyeAuexqs
0XGonltd53W4HZEiLMT826RhrgImCzdvGY3pFmsjg0iEGiepEUXCHq3WcZJOO/L60sucGPPeg8S5
Qqzbf2CyxQ8Smcq8IeE9uhmLDJJr1Hbq1Qur6dUxoimmpuJn86Nw4NjbkLK75QRcH61Jq956CGWv
XagmCDUYpiUF4PPUzI1Pizp1OBTP3cfQhMRKVZjsQ6mLuzCy7ziBxPGqzFr5sHR9/i7U9Gu89S/l
9NclQNjvcFV1xkJE4vy5D5cDK0q0oLXv58bwDpbRW5tKjmj1l8QT6l+kh7SkZe7dEtotyRlfvOEY
W0hRiVOd02OUTBvHscqDN/fD9RxY0Vn2ZvkuiAHBXWe1l2iiMYGpK7nmQC1gfy4neY7U7i6MUKr0
rVHeuG7z0GWGtbcqdYJkKQkQkDuG1e9JDQz7p9bo/zPyW9J6fpod8KXNZeK2dDppq5oIqP78pSvX
dkM0qAU86jx4FsvVD8mFfxLSHG81ArYOfWI0hzxRzPAjqkcwRN28bXmaoF0a9bcqFUvzxVLjzSKr
O4Kgs+6Dif9WA4X4kFUprjCIq5sIZ9XJwMx2a7nBd5oxcufFtErSgpk6Jl19HzMv2WEf1nbwZu31
YnXYzHrOPW10+nClz8Z7YZOL1Uix7/rA2kOYa7uVGRjrGDnKZrRQZ+h0GbZWDJDBS46mWaofccTs
knAX9aNivz44U9bsG4QuqyCiIK2GftvFOClYlOnZGTQWU5vG+9R415EZkugYNHa7TlFBXYEzQTPO
qaNfx3FbE1Wc0BKbkdXImO6MUxTjBaOZXS8xi8l1DjXwNLmZfJzQA3+4GWUEAiLO6sgT0QqPMwkO
RdS2e7zq8VXWdfp1wCzp1i3EcG1RqZD0R/56vqmjOdlPmAc9fzZDedHibrxpAbKdDLk0vWYXfZC1
rE0txfU3qPbRjNr6zcMpczJJ//N1OmXnv753ftmzUL65EjIOFbHAMSXllyj6p8Y1RCcyS1HuXyKY
wHed1xc7TbR00UblrhsHeZrpLfdOU84/lCRttGWWM/mmmqJ3bHjjubJlcKw7vX50ahMudJTpO/Av
T6O3SGV6O3+Ag4+SYWjwtiYg83YZ1/5UBiSt61jQNwDERlQopbyMOucDIDJ81anXpmtzEZOwXU3b
AbTJsqGWKWf0qhMbwlaAz9FR5zXHYTyjzpnvvm7bKkHtEsf2dN3UKEREhWyUSHL9ydXy9pFE0vYR
U0eNOipGNpJXER4OTlrxW6EDlCsbmDbIjsgqMfre3mGCQW6bupF74+o1rbK//vnlMln81361/PwG
zx1Hd2007kwilqX908+vaqQQ4dwEF9lUqMQ74YjV1NTafQJX8LoRCXmmdt1q35IpHojnGCuvuh4b
LNI7F4c3R3PWIE2hrA6ObjpUr+lgN9PKoyRCEyua4Jm2FV9m6fke6rjXtv/5F2CUx8danCroOnkk
//wFijltGxExZcjwzW/GRIznugrDbW0HWbNqC/aZYLG9gaZhi4FnrW3QflVAknXrSijoxKw9JE/E
IL0ao0NErhrRRcgKukWducG3zKnxq0TwTdy/ca18PY9/+fFNRGNgViQaS0a/f/7sdJDjZjaVdSl7
i9BtHLfBJ3czVtKGPO7vYo7n62Rsx5vMGYpdl7t8A1kUIBaJtDmWOXok7MPNIbNUcyjRz3/r7Nzb
eYq4Wr+p++Jmdtv4xPFjvFW5l8HpbVX7ibCbngoO3jdCb/oDtAJ34EiD5as3VVrsCIWBvZhY82pc
Gp5d3wePMhLJnsgD90jIDvI1zBTbrMWdWGXR+NzY5Pk2asmqn+DNzIVTuH4n5fghUIE3K5mbqLaJ
ehcb2G+YJ8v0TdA/hwhR4BVIq+qQmXS8CoelTk0w3n4tvcDTwveGLJ5hQxATH4/+2XEeG3nh+ESr
PE8QddE2it71qp23CfrVZ+684QPq/rKDLD8NXuZjHxfztclkGgxEzs5XxQ1mW5mn3/RKAqoy0XWC
LUx+GGUODDqMxkOqZAu9jcagZnJMjEbaGRYN2TMODZ4lf30TUyT+ugxxl1AzEHiCG5Jy8Jeygb0a
ZV061BdO5ZjtJ50Ftvram+FB0hIJ6sj/B19ljsItpVj1astuZgzEngTAqz1EWu2gjk+yYx3ToiNv
WI9TfyDZKweEX2y7ms7VipWkv01Kzx7Y/rs38J7DRx87prZG+5w76xafO0x6yrHrARrBJnf0ifvA
LDBxZEZGElom4HavvDnHCMvJaT3NlXMYzfyBfrsw+JTtlPmahI5S2+R1sbDUuu31/h0qBFtkWmDw
LZG3jmJudyardu9k8VJyLteVLNXuEfjIHncHQ5VRxvPGM6ZHUcFYNEqA63yeKCdfgwWBc4SbNZGt
6UMhdn7AE8vXZHKmR4iXZLt52aTRcpjr3UzbqLyWY2B6PkEK0XeeA/H3ViNWeDVXykA2G+fJY8uI
gSlHWtvhPqJuGZEHshus2qiK3knaFBeCtJcCpxnLo+5iUNHa3F4v5FkCqiOUocxfENK1fcqWl5Ut
P1SrltypoMMDv5oiOQe+C43HXOPtLL6FYdceAt3kqTOLxHiLjCAGGynsKr2CyLqUPx4O9w7nH6ll
tf4GspZ9tatz5Lrs7DjoC5wpoaXS48SNQPtfMQjTTFi3voXW4wlvY+xyP/XzXVIgH8F4nkA6orbc
k+hEEnTbzvOntFP34PaztkFog8/SpbELIKghRRRhIYEMqP8i32442WKnYBnFNVXmagybdYfgj4Ns
FRDDBQ7lE1nshaMzDlqLshUmUUpyQqbS/Ow4eXQrc0eBYCQmbNV603z3tZD+e7L9u5MtDxEeHv/+
ZHt4f43+BDbE7br8xT8PtgJIoUmbmvMrTD+OsX+oGRBHcXxFmoQoiIMNR0qOi1/0b4iHnHGwLtjs
WiYr7I9jrSkQTuFw5li77GccmP8jccOvUfekNumGzsfigMvWSf7Kn5+TqQhq9NeBfbYiUzuEpJ3U
VwQZ0NzTXDFZDmRjNnODMSoisOx+jivLexPS+YgQ6d6bTmpYviiJa7LF+Jg6WnxlGc7YMc90oWaB
TgZFC1LMK9eAaSaIvZkMcU+FStUPelEH2qoY4szIr1IPAiKzqSQ5OzLyGAZSImzjNioOeTCx+QGS
8fNpQVjnGdHH7PfbKObxvwGkcJdiuiJgXVfBKWMQcmp72e0me6iP0mvUO7PwFxNj/zth2vpzpkpn
p1dx9dLkqe7TtbcPttG+Gk3C0hzdiPGZI5voap6ica9XpQk8ytXOBcfPkbiSYRvpLvWX3+ChGxrf
qXqRD1sLYxXlGtrwGy2K5OOAmdVk7LsW8Vj5bRzp4JSWWV9fF+uh0x/JbfMeRmucOKJjQquk9ziO
rr0Z9IlAuyG/47xb782+kWfSHDnpMWaHGw4bMh9KdSDvO772tOzV62qGh1VBNwHPwxX0ZCI9S214
a/EQH6bAWpAuIvsgqIQCInHFx1K41mw9Tbn3ZPzR97LZeCDXnizhkpERwmynE+qGfp1n7ouUPYBc
J4n4bcrHPM4fa423LuoKI3KkhuegQ0dMoV1uTPAovlUtmTuIuxmYIQ22BHJRj6yeeTTtVaBH1WG5
Ix/qobW3rgiIRkFbke6Z0ddAzuCW8ekHh9AIOss7naPmtK6g9UF2TkV4MVOR3k5TO98EKoJfPpuE
vMOBYzinjxbvYpSIPxxzZyawNDgOG/E98u/sZOXVdIoYC1zDB062NijcW9XUzbZo2/FHR55QseI0
1fl9qlWfXtsmqImVKXY5eSwnhg/xfrSK9tRh5GODtlX4HslM87OqsvYRqACC3PvKuRKccMtV3Dn6
GQmLvrIbj/CappB6gU4Nsk7otv13DHGkw9fGJLepkdZ0QfHHrGUYDdshkpafajn0lxJc+NWQk9q1
6ioTFCKzimbrqfEU13wocq2qYztP7UOIgQfkNqLlzxJVysZ1Mw+dMMK+xtLe7dnSeYpGCUJuAtBW
BmGpEusrx2WjMqqtk+jeI1KLdDU0zlUVIOfJYZkyerf0twEd9lYylf6R1sFMkZgPPLCGCA4U/r8V
A2L15JWmQbcocIgUI/ilR+Ae+kWqpqtSaWbnuyiojq6dqmqdU3Rupl7Ot46F4HyuCVi17bFYd6Mh
Dy2or0umW9gEMtV/tyKrvMPBGU2YVngYOtAwrrTKmFZW7rm573p8JRu2ss45yWt9HoH1am6GaYNZ
KmFwEEybWLnzwzDWWF44k20jaK/rCO/QqunM4Dpyi+bWBjIsAGR9oxNkX8CP7JvCmG8UvXAfSvHR
6lnWaKbkeIiDnLGVsstb6DTaRijRYgKr3OmeiK3qGg42DSFZJy+xLmr6fIyle9Uo0O1xFBwKzDtY
VWt8pwzDjLHSr5moMBwu1V1o1s1pSqrEZ/PUz23P5UbAEvlFHhtsCuDgQ0Pph7kW76jI7HNl1sVB
ikEe8rYH8CJauONFJekcBuGukQFwnbiCT1JNpK1Lo7tnfDh95HqFc0xzpv0EWuaO8KicFiCZLZyV
ZUQSr5XunH6s1nHARq7LubuKo358IL7V3NZVEVISDva1PhYakiU2Ii+M1DqAfvtslHq0nypFlTpm
HjIucpdQAlj2Mw/BeY8gWPsQCQSyUUVQA22z/0wCrTyb+MUuLZFZYC6JeShr/TWc83BTk6OCZ3WA
mD60xHxWFOvPHCu6E6nwlxa9zzHyiHcymoZEucV9PRfMt9Tozre6iL2bNmrS5ZgVzBsztBsC3ZiR
Mntx123qDsD/IvODxJtho5zxB1kzHNbYM0n2SxUZ9LalnSKNCX9ZWeqxGrF/mKKaL7arPIQ3pf3c
uxFrg/QBYEIQdOgkjtfEEmhsWGTcKCs2X9JswA/lYBEQAUGrs16KV5WHJgqi+YHBWOBLNcm9Ndgw
83UtsO5jOKFrwJW457zsMuviQPXAuaAxhL1J9YkLXEjLWzvxcKcAJzxiAc99+PgtqJ8iuk2ydipW
GsDv73po10fPqJ1jiF/QZQcNvD37JsDBTj+1jmZc5rm/hbjQrepMz656fjDf4t6jKyHzY8AonSXB
scUT+I7mMDp4rnZJ0UUxBW5K1L5GEPpmEbqgvuweeFSXbVrI3b7uBqeEweiutNueShxlMLo06P4V
tEAWVLTtc85DYYfDT45ZvRlJ+aLebti+VaBeo1ivdhoJ9lfz0Do/oDplbw1BkWerbe5aI7fuZxcg
8mRi1fAId1XKwK/YafPO7Z1+YX4ND20e9UfLzl+TOekOUeLQvEixXA9k6+77OSOYY9TC9ggpsEey
GJqXNizK25nz1NrlyQViLbkTYSWfNVWok8dTmeaRCIZHEccET8+DdcqrODnK2NqWRgLIT+rM1c3v
o0bEnu7m2SYuDNClmEa+wUCpduDr6pvK7cDqtZWx1evgw0X+Bio/inYoN5gmMlPftxBqTpFpqiti
5sIn6DRQBtuhXFdzRtKFbc2fFgT2KCd7ACaGc09itLXtRIoKEeThyk6M64FddUOm4EvQMhDD3hPd
0NY7ZYr+22iP0HKF+ZDVKdK/hPwweAXDLm5wXcVjGrw0/TTuzDFuXpi/MZz1oOCUgxwOjkr6bWa3
L0qwr3h6LragqlfpMg8lSuVV6y30eOAOVo6bzEePsAAnDbOrsbtySttENVHmw9nMytCPXL30GURk
D4lmF/cUVelVUbs86i3BgShWKTT4BfG585ywOmehuc1to9q5tBOvlWEW62K0tB04l3yrRzI8OZzE
Ng1ZEfuQeSgaFJXYt0g1xkNkZgiK4JaspySx0JWqF9yOCfQ1uo47BtfzTYW+0U8tgGrl3BRby1Xj
a+8SCQKeZaZISVub9CkSTYuVjbJvbZXz+KPAmPgClMXXKXNf89AL1nyQTwBm9TZhAl/6U6E1h6nV
XT9PUhxucwM9gqimnJxwEjKvYd6hNExxT6khpxlBBvN70DVyjY5T8UizG/DhHlK3NE1uqHv9LtYJ
c5Q2fL6g4gmqAnGc2QdQ8FBtRowS9oGh6Z+u41qrDpPsqu8Q7IH+DjcAIcF/Tj3k4iy9s5wZh2ir
T4ga/pe9M9tuHLm27a+cD7ioEQEg0LySYC9RonrpBSNb9ECgb77+TKbLt7KyfF3X735w2WO4lEpR
ZGDH2mvNFbZXU6uZHgS/6o9rJd6eW324ccte0/E1g0pqWtBTuPHaoB5z3FU1FS5vdSyuaVVwbKtk
ERdX80AClxulZzl28suk3Ry6BI5+0rM5vsbM3Iblkpfy0ZvCPg0B03px9QWwxoCvlzYOv3hyJ5CD
9jFUXpKdusnzqyfog7xqVfd1MqCR+yWT8iptHLkQSMilO6zLMVWB8pPMDeY4KgOjC1MKPPAyf9MO
IsMInnrFjKDe+Jrqw4igjs7moA9YZCZAA4M3QQX2kmM/ePVtrfm3q9ap3i0+eVYGO5DvaNxmPqv5
HvPDLnGVpkpRTyU6mqAbJZm8A3nRhU8wwfez2ztPCzHYVY2f86ud65aqcnfRp1D54waPW/PQXAOd
qQPnwyh0cREj4AoH0yb2onjs93bekWdA9AmY+kwaJBhhzLG9ak5Jtnea3N5QymSeRNnC+RBswhIl
gLojGwbKmUnbugbfT2S6ep6SwX4lNEzwF7o11qtWGtSyipzWBl45wLksKJO8mymaCe+iFDraim7p
6RF7aBQMKfTPdUdC8xYssblOO1LdDaxQXMSAX3oSfBoVnacw9m5ce4e0RTxbtRoU/VSk6VPk5d17
x+jJnYl2xrlcokdaTVqYjbzYkEbSHQERbl+KPtezEUJxXcFeRZzstQDD19aPYViILiDaktKu6KsD
4nT50EV+s4pqWb80ccNWTHv1W1lFLyHi2o1N1jfBnEis1DKvW1twXQCrB3Fy/UI/DvHUlkEY6tK9
BaZvX8q4/uQuDbZFvUykaYxYLGv6LHnsJ0tkwzrJQ+cuy+f8NRUYNL10DKlyoViRnYY0d1yFumes
CdSYGMh12rSjU1tEmsYqRMK0wRYRoO8v+NQ6hVutbph1rvXJQRir8fPC1MfEb5BZbappvq9dD+ZK
6efJQxP5TGJgVTAbgpHctJ5BT6u7+Ac84skhXpb0RlG0eCiAsJ9z4Hwrd3J4Mwnjc+5VyzOJylCt
CN3xw2F3rDZCZfNrxlFBvdAwivWSusudMVf453oNSNAc8ofyOidZC+8rpPRuJWsRHcFRYzJj8mUP
41f7Mg3lOuVahqm1vA6yUjU3ymK4TkqhricYTvy5Ht2Yt11a1G9VR677TmZpaxFtdbiM1TAJBG20
yKPrPnYwcq2QRJavBi7E8V76+B4daOL8gYMxv3YAeaenZTSwNFOfwIW3u+9Fy/pi0/dwrGDJWs00
nnhJGs/bwoqPMVO3ssKB+H8Ke2hjG6PseYmmXWi49RNk6+nlJ/nnX+xsf+S5ft49eCTOaClVmJ4E
6g4FbX/am+h6gkhuyfFMZlEF0Ivh6JhUgtGma5A6C6MPs7B2Q2oerUxtDbvZqlhuPJfoV8/OrIJL
MRg7f0kDgqV/w2S7+hT+8ndjnyPJVNEo/iuSrZBDXYrQHM9aN2dXMyuG+2T4u83jv/gmZGWgvuFU
Eu6vLwBol4lL7zBSXgP+h/84Rr4t3eofC6r/SpJ/K0l6AkXw30iSUPvLKmn/ZLfhDswX/a5Keu5v
GLZNy5OK3AXqI//X7xkrX/6mCBZheCGdCczl6rP4py5p8n+RZoDtci2bEFc1kUfZVbK0iIE6Li0p
RKUw2wj8O/8BsMuxf1megm6hixBbD2kvF8Xwhy/ip+Vp4iTIN7KNj1NNbgTfL8Wf1wa6k65dpJ55
knZgw1B91LBEMd2HigeUGDyFW7jlArlvZBGyEKhy57gsrh1u8qFaqAAVYrrgRS/sHf3ps3GBfN28
1iUT9Rp4SUTSPMwdjXm5HZiUC69e5RSdm6u+EAuxo6p3bvzUcXm4jc1yYEfU2TStVdDeczZsIBtS
iMIWaPgjK0eNN9Ez2PNTcPblRwShA6+/iRYBZjzWedfSwqdMFUiEJvPGN7s4aKn7ux2xhayKoQfW
ZBpbt5U8jhnkYBpAa0oedZrOlykW3bmJzOLhmqcpN+5UGfE69aZIrUolIm57qX7IlSZ9Eo01ikg1
76PR8Y+mbhLq9bwd9tiG4pgqqbaqJHVitjEA3W6ESRJMKgQR2bnma35tbkqsJn+U5kTGP7Y/omHW
d3Ta+AFGPuu+N9PmMFBxE8TSpJ1gYaNXOu7GmLF1TjBS7i3XyM/k6h+UYKZVeU6HGfUX8RfYtHpn
u5CGUbDony2KPEicqX4YGg51MDFJdMvYaZ/H+LooYwbpb8S4qWknPIe6Kb6ng+NvIceQuVPsYxDC
2gfT8b+oED+mDGWIsSoG9tXyDyqXX30ybasGhXKtc3UcRooq3MQvH1NCrw/W5E8nC2L6fdKK+qKz
+DN9HfEnVTljwEPjhDQ1B6q/wtfouORJro3LQCHlY95kBYpX3p5NC8pwxysCtiG7NHnanY2JLG3C
J/YZHyOZ3dacznPSwmafFNAIxd/UmMYoEEMYPS2eaxSr3KvNfp2WFTdtmvxIBGgtT1ZciyMrp685
//5d1Nv5hf017Q4k9vwHN1H6AhAUhH8Tpsjv0bKcbQNJM9U8UTIxVSQJ+/JBmLyjXafvbszMtk8z
62vdWPaW0b29rSZreUcHVAlw7S4Gaw9STNsZ8GbLGuygzrJxx+AebY2a6kjLb48idm6Hoa1JnYFG
X9HTBhAvnZi7ypx6w5b3YDCJuVj1ITE53AQvBk8EHPgPHomubeie7OGKn6lLfP59eh9bzZ2B9Uri
Fwn83H5g9sg3pae/tNp1cTtVL7NFgoRd9UfhNjlUbrObwY6ZUIBQnwi1nPL5qwFedFXJTtOiJF7t
3ifqMvvhXo+DcTtSRrUJex0F1MC9cxi2d6Yupi2o6wpoTKQOM9GhF9uhVWlK3RbhktW2gf3cSY2j
y8i2ChPznWLretO7RbPDzWAy+B6XLrnpCpj0MGOutaLnMuQKQVyVXDVbVLRcauxHnWyzkcJBm1Ho
AXhgftGeig5DysuMMcU6+FRGX4opX3ZlR5+85oG9g0Hr3NrNcJwb+k+bGcBNgAA5XrAlvBBlMfZG
PaszonVc8gGrWnsUpGvYs/tBLbkX38/haBW0Sahz0XifWRarjeMs/lPKVLi1qaKBYJWE97PlJXc4
uT+VtkatqUnKLIn85OhBdau4Ed1HC2l3d+3FChqdm6crrnMrTMVbWkQ5FDk7Z76L8/uZYxfQ37VI
qoLztnbL+WPpKeXGnBSucbN3N8k8zR9wjRO434moH+uGSJDApQWOpririL75q8FnLr2PVEgqSXMn
YltiM+zlamDbuaTVQWdDiOpedvm1odN/6FL3u67QbyNzklsaCyABKzpYIZA7XKu0UxZVCC2j6Ccu
zr1C7NeJY2zlEi9bz+yK7RwDh+VwR86c+hcw3q209zOr+yN0rPjaUWDUXzI6HmfMlmkPniTmUn6X
NV5FZrSavH3WI4DcTLDOLxMP7EdqL/mIZCNvPZSqQb3Rz9Ac46UA+U3TvPrc8e5P1rLHJ7GWRuja
q9HR7kNNzQeXBNzjx8oU3rGeQ0iFflpG9IJ1hzmxoruYyppHj35Pd9VA7trFQDMokKc38F17druh
zhLSfxLFnzymfp+KL3zaJH07+yayGpDlrq2Rw5axDw+D5qY7WsMwrDBy4nznaP9eZjajuWWb4203
tO09HhCgZVRkc3lm4Q6OOlX4Plf2tPSvIqRIt25E8s4zmXDnWPS3hDKKu3BQ/ncxxbTwxnlosfXP
hleDNvFzQVsvViTWVNcCX/WjyzfBodev+mvFb3Qt+1XVcCiu9b+06dIEjFPwul4MeRUR6mLvpb/W
BiNN5V+NVKTECnoT1Jijk/ES1rbzwnPE3+gfBcSsOOmkdV0drgmyxNGhSagrzrjV2BxGFMH44Cjv
J5dLD6m22LhPUgfSgfmj+vhHCXKOF4p38bUb2fSLhVR3nX218YJgtSgf4eXA9wFkEh5YWBWEyWI+
rMDt67ulvrYhYxeCTWC2LBQ2s+mLW+w+47sa5/Fb6MX1By7kYVvSV9AAivMjuoLr2ThiGxvuS8V5
A2usMb7YYm7v5qaEogMkvN337qybvWuM+sOPJqxC8xL2By2xVwZpklKV6+PGeaXKHCCEV1ndA5w1
AuPGZNUkqXROswu2yh3EdqyAs80Nn7+5v7HcRryHfhfamzIRGWSfwVC7PreTh9DX2AKt2YUL1QNK
Ja1L3MaixxkVb2DDlJnuzTx29VHGnQN21RbBPFy7T03ecG6uQQaTwNzUgrCWk8KcUjHYnZVs9YXq
oC5o2YTfwKbE8+8SRwgmN9WH1rUbqlrysnmnZ+Dq/I36VuLva6s3mG663HQ2N88VnsHlm8MAdRsK
tk+W6Xy2o9h/djHLfqqittrCxxrygCOezlzgygRhRj/jRGQxKw6JK9xbf7Hdj0E1OXksTXrUjBTo
qdmarc/uyJ64C6X14hMloj+qsCaEsYbVZ1nBh4q8if+Z0eLn7VOM1w9eFtbDesL09WnwgXvQJqw/
uJ13F+WTD1unkyne+4UBchOJsee9JNp+RShbfvVr9kqbsHAi40i6InwjUlE+48Z22q2Fq+nUt/3M
vdIw4mBpWtblZDIOaZTdi6VP3urSPUczBcZxAebTMyCT9iyX5s4H4uELkFNXRoZfsIZUhOLvnJzZ
0KPbe4eHC3aUagb7s+9C40PB1dSq2LPLWq4YEZelYcl5LdtE7GDpRee2M5fNiCXnYKY51mtbdcGi
rRwkq+hvJBtAp2+Kb1QZ0Ayb9I77zUmRnlcD4dsgc7rmOcKV8NnB5rIdKlhoK36bsJx0Y/e3sTnB
JmXMIoUZKiSdpIlSG4qJnX7VBJ/KFZdPYipGnHO0WONtxdroNadu/AmBLN6JK82skWF/07DTQYXN
nGuxbeGvI8GMWIzR0VsKo92WGP32XuKDSCnNKHtrPZfCZPbGbAHiRJHq1Np0NmxFl1NmSH0csX/c
8BPmN6adJF/CJengEnTdvtD1sI18qzzUeWQFFBW9amy4/VqasvkUsaC5t+qa5ZhImsOPq99/b8l/
c0uGLP3vb8mv39ruf154byTln3Ekv3/l71dl14Vp6uCQobNPmRh5/rgqe+Zv4Knx6Dt/9I/+86os
fnMsIdl2c7u2PMc1/7gqg0WCbQQ/mqv01frzH1WT4gj6s9oCYv9KQiEZg9sVw/avrQfRzMRbpmzm
2oLinMorocGVpm5PFvVbQW53FQdQT8wMyRfrYpRTkT4lQS7kuM/ixuBICXs4a53fPJK7MFDQcv8l
YZG3o9AC9x39BxStTareYvnuKD7OYnVoQ/rQtn3KanWtDHskhuGpXEH/VE4w+KA1aUqb9nUIt8DL
ejp6Z9JWUeFFz7JsaevgPA2BpKYUg4wv2NJDjpWwnZ+XbljwoEPsSAZDBB2j1QXrnTx2VYlVZALg
s+lCIx/YYYf1g6KX7IYvoQ6lEe6w05VxSUKdtkE8peO+sSjOWUb2oeTxxevSNAPMEjE/hXq2tnPT
4pvzW2ZNf7n+5HmZkQskXhkkMs23DhFnLurjXDxGsaJsmo39OsWxF7iilidfJs9VhjLB1pMgJFdQ
jxD82qhFFUR0lWABTOzuMdOpex/i4LyEWMTgPTqNLbfwpfmJcxh1gd+HPitiYvqmHuR1uZQH/J1/
ROLstc0VEH6S667CyXrts0wzx8U3rs0SQvbxXeQtQxeYs7DzABqoiaEJbbSEiWrfdOz06KsqnQ7j
4dKtoGnv/bHsnu2WNRgT7yI3xmA2azudrWLVtKXi96H6m8Uz910q3gE5q6DnZ9lkYfcS4mc5+mPz
PGezvfbx0n40YzrzYNfIFbMXB8jKm0h2KsjTKHpoMbfidXKr/Jb2oPqclzE3CR+ahbvSBVQIntnO
fQYrJTBiFyNRE5qXua7SjYquC8pFf+tMKyImT/CWCHMS3S8jV6zJx72RQo5C4JoY+DBZQOILaXk2
wou0ujee61C/Ozc7xFgro9PYiXy4TH5U1Z+aKGo/xFj335N0kBeHWu1TGtXWI3tbOFpANm5UixkB
kk7BS8a+urllHPoYJ7s/GxrThzmKb3ZZfLjjiIujUGXNvc3uV3liiTuqsSSXxWaGKxHF/RMX7mqd
DmG+ceow79e4e/tiL2yuHNvQqWhJz8tx/IgjICzgYeHFA+6pMZVkaSNXpE9NvFd0VSVlOwi0BlKh
mYjFDeRP11pP7GAvgzbvRyXf8dm9w9pcNcJiC+qKQu992JLkPNy4bnZDyztGRKbzShncE3fjb+gA
7IpTZjC8GqwNVU5XC1cJm/ZPHwt8GjvmnseWfOBPoF7MauNzWycnVMDxMMkSxwEb3Xha91E7mret
3y4R1El6Bdd9o9+LxND9QwMHib9Su02NPrwfoBmw+sj07QwIKGhZUjMU+ETTrZgSwWWoLyabkGLf
h5InstfP6SmzAKluEtZJFN/D7rxtFTB316riQ1yEclNr0PmOaxiBJO/1ajfFzOJzOZXCZd/atfEu
83ISsg5aGtTfgaX1PG5Lm4a0aMqzt4mNBY73ejx5iQtYsyNcSlUoY1drZyvGS3VhA5FtcNcBuhxj
fEcITuuUa/ExzawlqPpe7wa7BWFMdv92HBSlQz2o1ydMFeqgOo9AvegM6vKCuMdlIbIoKEAXsye5
5lQnwyq2qT5xmXozwwkQVNOaB6SiZUN+Xp9yJapbmVv445RtcOGqq9qEZNEjnR4yIvWcVE19sbCI
PFH3iz0L4lwQKxmP61kvM7uOsHJpvcqy9+VaPGVP7ohUAo2JA+IjZ82+ioceYzyk/GZrIjLiDhvO
+RLN3/uYDpZ4cF2sU5Gdr9xE97spbL/YIbYpx4VZu4qdUgbcTTF6FHjU4bk3wJP6Dx4sznbs8mFf
LjUd7dfunAUr2zg6EIeT7gt1ola+IcnR3thFiJAXycfIdby9ZRTilAhXr5uS+H5+1cTihVwDJaUr
yQN2w0KBkROX4N5sSnEQM3lGFLf44IyQhOCRipPTjZBKq8bbtlqYN70r/dNUuslmMvOH0CF77LbM
t5BvWm8VNsn3PgFoQmOYxyYaThZYW64GhKvqQ+3LYqH8IKsDMVn3jazWRjWZ1HrxEb2NdZSc8R8C
jsi1waUr8wOFZ+44d3W4Hfv6NBVFvRHL1H5VVQMWo9A0XOW5vukstN2lt+NDs/ifPb8rDphgvtZ+
1G/6bPxcFLBRhZwlCy4eN7KJD8Tqon0/5haalHceZPjQtaV1tgoTp1E/KOSgpNg2BnH/OX1gPWZc
xjjlMut4xxDFkU9jfo7cYtlOTkYPA8oL/kDn6sdkJ9sENhWf4FmGvls39jQ/g7CaV2PP6/pQ90mE
op52c3+LpyGqNiZPTmIoyWRRTSqsmcUpzahwYp3SWwSwb18vj+g6vvE2onvOQcIaYQkSBWdcDFnp
koHI8HmxzCYwN++1Sh6V2zhpsAwLo0yb5fZ5yGTD2wrf/cpMKfhaCcn1Ya7kpFYY8Os7szK59QB1
XV4t3U+vVzbQ0e1SecJt2+64Oo8dqhRbUThn2XAUeBE5+nPg7dMQd3siHRASCk5MD7/Tpzn1YOsA
Zj4OQGVAq5pu8eBxizoWooD6bCmSpP6IgYC6DIRaA0DaqO7b2au3o4fL0IK+wfW05HjNaosXKJvp
j4pFFL3Ycwj4LS3gx+oMCpBfWPb+mlYaArGofjVCScNsSLpiXFW2tk6NpnRk05mNvqKH5x5wNk8u
geGYZ9vKm2PU1tbtWXVnFKIiU5V023ntQP4onvtTThb5YNS1w+AXCvaggsDMnQTVBrWjW2qESFXj
7fH8hT5Mq3eCjDzEe0vvI1sAdBQK4pv6gUrHkZ5hZ07WFY3hO4SLaUsLlrNfZDwNqzqb0OLEjP6+
cpu5Y23g+wGYHHlTpF6B94Jf/hvACXvrtGpndWEPZ2zpgHd4UNv5ejY4bWUNewrP8BMZSRttrMko
zvbs4EdmAqrpWWP7dLATW7wSMkS/0iKM11FvedlWzzYFIi2gYMhYXffG4b1sLF6kE6Wtn7GqZ3yw
lcBkx7zFWgcn3YSpLos3Ix409vG9MtcduCYNkDIu7sAqeHCGs7jfdCq+xQKocd4W3c2I1+VAayUC
SYlt4tLmDQbpVpX5DigzTmp+aTQktbRM5lySv07oOR8+M/czzQTuKSSnC7yLTiUqQBnNWAjLyL8F
AU8D7Oy+AdhvX1GYACBHyt7mxoLiMClxaMyZEHabps67pe1hRAVD60mI1PMsMf3bPJ3nbybeT1Is
iLWcpwmYZZwCmJWcN8I77bzmmuuGCPdJ7AWkQilJ6wpqMcvOeujx8W+Ug/+7oqRqg7GAvNtU9Bsy
6sNpcdnnzm00PrRuhtxWjhP0bxZDFT2Qn1jxoxSxk2GHkFSds9JSNyxphm6NXoeBJuzqjeHEztak
B+CrWZrTjaZS7+zVi37Uo4RlwXmefsfr1T75pcjfIinyKFBz6h9xxITHhID6UeAA3ULwqE+ijpyL
tXTjesShfzAXwTegCYEUjq03M3oJs7+gelOFPTpfF2cczUW5RVBVOxrgy8PEKnCl/Xx8oprO2hqi
2XS6Tu+SCCEiTfGopa5rnjgkMIoWMR8WdzAZWDj5rKwhvWrUeoOLy9nMtqREiFQVTtGi5bPe0NcF
b4+lI42DDFBd/iXO8OyRx4rHTUJ09vvQVeNXp5hwPWh8NrdwvgAcjo393y35/3z7/6k6gftw3Rr/
v7fk52/j/+w/0UAeJ39utvr9K/95/+cmj6tOsqMmx/t/1+Quu/ArnpitOjzL68b7jzW5+o13Fpt1
BnBsEMpig/77mtxGMfDZqfuW5V7JpP9ZfAeu6s9mDptMMX+QA3qZsDEnLcrEzwFdm+LFqPbcBTCY
Yum8gAM2nehv7Cx/kReu3wS9ApoqP6fjI2T8/E068FwaVvOy7zOzBpnZotwTY13rzO42P73+/8I5
8ytp9frzgMQkCsV6m+Pul28F4WCq0wiYxTTgR05yzH+miXtWVlijofWjo0noA9OibNSGufqbb/+X
l5OlAYQFHx1F8kv71bZi5ounRgd+FofbE2m6Vy/5Oxb01frzk/3G9q7fQvlkkgW/N2Aif34xm8aY
e+rR672S4xPXjhcej9W6N6W7Ekv97d+/nJZ3jZj/8u1sVDD8UnhxsOLwRvz5dwfNwXYmkix76izr
YwSkSq8p5CiOmQqLYz7Yz3Y41sXKpqBDrJRVpQU2cOaAFZXZtGO3VchiyIykv0LOzw79iHNujRrg
1+spz3F9tS1rqJVZSz2uitjnVu6baL6F9dlMx100tN33EgsEAYNOmC8z/ua1Mft9EWQGE2sMPiCw
4swKeh7GL3N6vTY4Eawsy3Spq7JrzKAONb2vyYzlwi8aNJSoUneqK7MH7PnYDbntwQ7tonM/lLRV
FRhwK4/RApNLDVxzAZHmRbd9CmTOApBpu/lDldhfnMW7dA3L/9H2iqMWE54GLH7+9Tw36GyAdJ3C
E9JEXLNakfnmgqPadPyGQbo+EIa60zOpfkxwzcY2eUqO1eicp8nK1r7hhEczsl5cg/KLNAb2V7cs
K5Nh+GY5BlVkZZsEsyTqRiVdRLLczte9hxPTHyIamdnlTGM47JckD2lFmOLbslV446Cfhd7MvS1i
et2MjcHKO8Jp6x86L+1pJ61c/6l2KbmIPSXXJpfZG02FjTiVGiPEtpyaxnm28em9xjAb7qhQ58/x
psl8qmQ2nICb9nvBxISg3nAHBhoYn8Kibm7pplAbE9jithgRo7j3pvd1dSWDjaXc8EQ0t6T4xAt9
naRnh3paExAz+/eedS7uSDHLG2Nxo6ckppKMwnXJXRxtMq6dNluNifQPi9GEN4x0zUUvBHKKpr0J
/dl6rxeveyJFl+3JnMlbOVnOvmBSWNWLk2x77IA76kHe46zBUZkBt9qmrjXtuYr7F+EAUjcsYHZL
ZFT3PUXMJhuS22iqNBXQOhdb1Kv6vXIUm7zEYYXJfSLZNb7dn5IQ5m64xM594rbbMCS/TtTYBVgu
o4+UoPOBL3udhujInFUHkx4ves6eYVBcGT6psbOLcjh1rZMByWMFNPTReDHCUe5MKxF7KXTOpaNj
ua7b+jRXYIFWIoJph3bh4XtBpvGuOR5xscJ6/tQakAhzPjQ3Q5Qapy5yzB1mFSyeOYpVgNM827JZ
coNakKtjF2JR+g1pzlpXuLi3oY7n42R44buXdeU69CJ/F4XheJq4TWGr7se1Q3nxDokp5LNfwCa1
WXyyGiSorTJ/ZTn5eFzYWt1MVJtuwxRqMeGfdF1kSXkVAT5ZofXqywX5r+vEA8AXsTcH68Pl90p7
cfRIxw47PZdX2koo/Larfj2ETJKLbXQBKxWIIp5EuVjSW6Ot9SVFLQvKevmakJfzKNzLuCjAMzmE
BjdjSDgXbOzbbqqiPcISxllfjxgk+GMjdInnRhouYfZ2NAJd0/3RU333qR3wv1axdjbttIVlYT0p
hTxWyqwpD6U7tPe9oa1PVwjUgfpe0ocyBsKGqLqJ457fkLL1cg7zrKNsEQWZ67iX33AgLQc5AZTW
pnpvKq5JLA0MEKwhThIdMjSK+AYzwy7mAYCtSwwdHm7QF3khy3N7ZZEN5nNWxKTYQlmuI6852o1n
BAsSN8kqw7uNwuxbyLJqvdTtxu1N+1MvbP057a3hTlNR4q9o8fUwvc/OXTKn0w1kmPzgFCYkZUz0
QTUu41s1cc9iGuI7Cyxp8zp3+ACtgImn3/3UyF/lWIsnYIE2k3XqBOwB5FrmRYrMp3JqEvO441rP
+0uSH/laFLNxl9WIci3Mvqxx02ter9zPflLl67pB7JT2hE5mc3rgZ8oxbrs2Ad2EkJ5FcdNdgZF5
T/EIJSq1+4VYdYRjnxbeoA5VevAAbz8BzZK7UiUFsQ4ove4wJ3tMS7imHD/e9wmZ/GrqoTF1St05
iczAC0TRhwdfIUrmHR6U68weT8+SkyswIS5teZHyJ2Ducq2ERIIz8Nc82rWzccaieO3mzP6YBic+
O42zvCKsBFWWYCRPddOce6m7LUM/77zZTfe4oppV7vAm4+GJRaI1V2HdZFsnCtsDz8cRYRgirF/T
wOacOlnMJoG2vO3/0THx3yXf3yz5pMOC9Kep6C+FhqdPZfvpz0bYf3zJ79O9b/+mmPi49zMl2b4p
mUl/N8JK8aOy0GSuxo56neP/mPCZ236f6K/GVxyx13YcJjpuCf9ReaG0f5kQaT6hIcslje8oiwHx
1wmxDjuP1cnknApTIz+Y7P6AwktsIfW6bw3d1QxkeDrGVVZYVXiuylmqdaMEnXHB0oEheMzJTzLj
ta2DFZ5L8dTY4d4Le+msOS54vCOkLPqcxbbjuduiwaw1njuRJei/s+mOrJxaxKFo27UUD94Mdt1+
yXh6QeF0ccsgxKzt2HG3OXlOXJd1FGhzmR8NbwGYsXQwpNeopSW79GvQetmx4qbRoJxkrlieCY5A
twH0vs9r5rR7QvXZY1OH/nubLxapy7bu5Zo93VUPp7M03GAzfTMsvAB8i9lZNmx/YKBgBBSQx+ay
2AD89a4HkfNeuy5wPb8aP8i7pPcLK6Bt1c9EW8iH0HowmERaKyumhKurDCCtS5EfUoKfH2hS9ZvZ
WmbFdSPxv1S+9yWf5rMnGtYEQ0aBA/8Ib4fese4SxSOc65/cdKnlrydq3/h3LL++9GmJ5i7mmc3l
COd5hauKianqK84JBHN0VKlQw42luO9xt7xANcEk0cw8uxZ3vvitOR8NP61BmiTmZOBwMJI97Jnk
K+8HdUkzQvGbAbXzjuwfDl7loIlXk7wBM1o+xYsLP9/rq/sKzwos/Ahaie115q2tBvPVgM4HKrY2
rbvKjq6dMzloaRdL5ZDIBcKZwh+S9AjO0qS4BToQUS6gB1uLguE9LeR06ADMWT6MudBbL8mNHfmV
5WBDX/kiCtM9xITqHhcxh2dom9VNxbO62NmLAeOgX5xBksEb7M5kKvrnf3P42kN8a6hrRGedCPwn
QIAH3y6bY6oRnMpjEbZjXgVuF9apvzUb44H8C8Ec4n3geJYNcCIpvvw4Jv57ov7tiYqa8G9PVNSX
/ks2/ylc4Pz4on+GC2CUUFJMBJna7581E8//TbmcpNf7L9nDHzfs3/0SdIFLvBBS0B0LL01eW1j+
OGF5KnMuKgglDgmi/6wQ6i+3fFMANPMUygkzkPkD2/ZTsoCOqLjxFrqU2ZtAm4fP4l5GGS28xym2
TmrXR/P/nBrjdNC1zZUQfq0Pbnro9rjGh51Vy3onyGCK9U8v479QP5T5F/3D5IfjSSTMa/mZMH/R
c6ZWzSiqnnNwqSOp7nw/E3feAv53xSGpspXsqTqQtmFvEoT/LrKwFOuBDTRQu/CrV5by0iKv1M1G
zy76Bd3R0RkbK6sPcIPyvYgx4DUkIfSyXWATe0GuoNAxhinqLkkVd4a3BwC+BLbISrIIMh9tvH4V
4nnzHM9DtAe1CWty7au8xrXccqVidYdzwMhK/0hZigSJPKebiZZJTvcYuL0/etb9Ip3+2a8Ytsb/
Ze9MdutGtm37Kw+3zwvWQT7gdnbJvVUXlm11CEm2WddBMsivv4PKfIC9JUjwab/GMXAynQqRDAYj
1ppzzLYhLZAVnIZsz+nruaD1cgsjElYxZ3kcufAgAeN7WBWN3RCacX7Eap9nyEEmmFLseHHqEaea
jRE93DZ8IItE27fJ3B6bKDX2fW91L4ket1d+gRvETbsz7GnHGhv6vSgThaUM8LfoeonnNR44FQ0c
48XMipvj7LhsbGs6L6N4p0FYrYlKMapbzaaxbrENpilRVZulz0KfNkT0oPfOeKFFiE6Q+KEvF/HU
bcdkUOeRmO/0PsqvWnr6dFP9EtPl6BrRjg6TjZUd/69fx0QPO7AR+DLriXure1l9S9y8taazV1w7
wyxgEqDPzS6Q0nfWl3QpTiuQnlfz3GxpJZm7ZilhT0sxu4T5dlBLgRtbW7mrX6veRuv2a7Qv7sKO
MwLFuWWLc1BbWUvJXC3Fc3spoxtLQZ273tDdz1qO0ZTbI8Pyj75B2zB+rcaHS2G+Xkr01VKsb17r
9hlnprtmKeZbS1nfWgr8kaDUj6ix2RZ0DFfA3uQ6n4Z2a752B7jv9o6GMD2DemkfZEsjwTLpiyLZ
4Ei4tBkQ84yXGNiGM2fs+i1KU39vNySrYvGn4jTCxJiXtkW8NDD611ZGu3Q18tcOB+dJuh3z0vig
HGcvPAq+pZ5PN8MfjSczSmPs2Eu/hDSLiwaN+YZCSBsgd6exIpceC19i2i2hiI2DObhpyxnKmuL1
LJGw7/kCm5gsnY6jqdkUgjhhv8npS0IV2xBoHM04TkLt3lEdTh4SN+XBVy2SodpBcq+4j4cBr2m3
Koycs2HmlmfIx7l79iKosgfyOjm17PLJdAhA9UL7BZ0lIqskH9v7eazLc5/+GrdvbrILx0lDwH8+
KAkvWd4uUqjRQ7LfGPaDC1tuY0pyjUSJ8nEvsso9ZCgs/Xicn8UwK/JPO/uAFAv9vAvZYVMbMDlY
CcfvQwzDdVV7LhybIpqpgWVJmyGUBIcw4S9oxWMZCr/fOIj2OYNTSB/oQ+MZgEE3VisgLQKB5SDj
4nyiC2Ou/GkYDlXkVg66XoirRBR4OVYiRFGrIYnMqy636cy2QPix7pLqg4Wiy6+Av9b70fRiiObQ
+7Vdy0Zj2NQtIQ4uy8EZxceccJcwLx7YCDVwzi1ZbRVpEBdAKptzjRCFbiOsRr9KvLS6F2yh8o3R
J/ZGr/j3LnMU0YwxxUfazu3FaMbxdWKO2ZeaQzqqCogN0UThksY9NKS6YvF1uix7SSNob6vETvBO
aFbrXnfJlGvf8JLNGEeaxr81rdFLtshxIh5K3brtztYL/2c7U5OdCmP8DpsDy8RkDLeGHODOkrMw
a66GXK6v4kA3afZiFI7ts9gnokqMQ3vHcXNOV6HhxjeoFs2v1VAkt2JShRF0qAOucWfWuNgmmeVr
E3DgIx15AEE2Qn1n3y4xWKHbZ09x4zcg+w01XEiAF/jZIcuQFkg/NadlLWMQ0lJDyzdgsqAEL4df
rO/+LbWicdcIIBDUMxki8vX5HKWetUNHlh7azFTbZnRwxmiwF1KRhd8Q+hv8waRjneclz0geWU06
AqhVv+QeAZIwkT87jTg3Igd8npjMmGZ1Z0AwUWOCLUHiN5LgVl8fW6B58VnBaYKsQ4uLHAyx7WL3
BXXfuBk9m0jdRlkPCfafQ8ph4dq3YoNRixez6XwmokPwn9Lq85QT+2p2qONMXviCfvzgC6TmVJeR
aRiFtvF00Fp1baeXkwM5zObgwH8wK/MKcinPdEy88RKPoL6GlGVuiniiftfyR0LA7mM6Zs1Ni3Lw
zHYaCr1dHZffbYfA2sHKO7RNjti0NEn3y77kOdey6oVZSi8YeXXC0pFS0N1OcRifd4BwYqpKVntm
eY3qKNjHSMCMjqrKtp807Hdj0fqLrJHQpo2ae/3BTaUst43bZM+2FBGZ0D627lUEpTiEzKNBoJS5
LEAYxWLkLO3hNyKUe9DWPTE03+GvZQ9s4XhcgD3sdLjSQCreTrp7l6mQRmpaQP2wiGubiYiJrYsu
GdEaLsf2qzAr7QNbrOpxqkK5k71WbCqp87yAwUwVL0taPlp4i/iZyfDDJKlzib2xl49oW1x4TWec
dyxnvEXdNK8jUnKGFfsuAjNzD5YAMeFm9mT44nunGcQrTYaFYCf162Pq4e1e8dZpNgdEhUKAKBGS
WrSqKW6BhsnLajFQ2ouVUr26KheDADEji9my77rbyB/5WGPxvoA/FW9UxSt2npj0/Da+6rolli7B
0eQUNvb2JVkqXAye2LkaBDwNrs921vyjsDsoQmhFoKthWfO306tbtF2Mo96rh9Rf7KTy1VlaI5cC
yUWZnAN+mg7njTEjuh9fPantqz+V7Un71UwX1+rw6mBFTI9F7NXXqjMHwq2/2F2HtOVLgP68bAKI
Xbba0E2IwTfQGMcTllvenVrss9Wrkxbhp3vmtRkLbewvaJXKzdOLNkausmZpLy7T0lMPrek3t4Y1
iseGGJR95UacpjNoWS+2ES5uBNGU+6ZrseZoUaFTZaQSTJqGiHviRmvjGgx2XByB6/poPgV4tVK3
k3WuR/qh9tJcX5f0GVeAgwhoUj0RRfLM9Sazcv/ZZP//Y91nx7qFJP/beeRNoeziKSnpL/7TWj/8
+J//QkK3/Bf/nulcylwENtgumV94wx2fY9W/dTJh/DdHFkE6ggEr+g+OJS5zurnmAu03PcI9qKD9
v0a49d+wJym7CZ2UZ05+4m/84s5pn3PpUev8HDCWHOrc5cz325luAgFsgRqbST5igds6E3Ljq9/u
xnunszdDUNwD421Q1uEMapwMEY59Tj6DPwdkpeDnoTeDptxzP2nZvr2QP0dZ/v1vF9KGvlJOzCii
fOy0x0r9lM5nx8xPLmQpQP42hEgqm3eNIfr5Rug3REE08/PH9+qkhkmXG78a2AefZrrh4eL6cwiX
XRcEC68N6K1CLNFgASZ1dYMCcg9mtPg7pMW/o/mEWnuUG1z75MkICJqS73IbTBXOd73jjwSh3zaP
6nzz8YW9eTxcmGGCI1hM+Y59ekDXOxdYkzK4sNiL7lVq41FFQ36hS1zOHw/1tnW/DCUwnFBFZcST
ewiph4AzhINB2SJIz3K5EH9SwKBqVqsmUsUef8H0t3OD6yMyzbAs/CQkcJ8MCkOB6i429WDC/0wL
kD/cFi1sqPHHx9f3ptaxDEUPk+IiwhoqzX/OETT/9VzXWhtgrkTikYdwXrSGiK3M5CQLH6C5ricD
FXw+xxd9rtQn4y+z4k9pBOOjwrEX+AVL08msmSK7pqUYdYFXkPmBVnWpi45fPr7I5SJOB7GQE3mO
viyRiwno93dNGZXEXkcPTsrG2Isxpo0UCSu8zE19DubJhEmJK31bIbbYfTz0e/PHMrEnLVkpS/j6
n0P7jq2MyLTagP3ntK0tR2LQ1TBpCk1fnPz4WYBmY2H7eFiDct2bi+aUZ3OxJh8FAPwnd7bLtTqN
BpImHa1sX+h7gWtIdKI/xMiq44RZfku9PDzqeR8erU7vd1hzeAQpjb5JDeM+odH2YMazZeCf7dJN
K8UNzvLB2XAchMJHzN8Ogbm+saQaYBaE4R27QlDgoujT+ynzFDsokZ51LjIlr6ofC4/gOs/rtnll
DEEPmYHDOs1WjdIGQhQRX8BwXYS6aL9dUlXP3LZPD7GeizOd+tt3rRBIS2Jnii/0RnPPON9TW9C1
bhtrDk3+CBP5KlNYzykC9ec9buAvuP7yDXBzYFmieXGREx3DhGhDT0MW2omZqriJ5j0z5RdVTvbN
SH9mr/Ui31ZwiA92sWSL9oa9A1TJjlDVxoWnZ8UWUp+CyayGWwtXyN4m+PlczCTbVFh2Jk58nXGB
WoFPYcqyG1V9fBOmw/iCrny6GWYLgpsbKqbBQK1MS+afY+mG3+IapMUG3OT8xR3pTG3G2fjZtkrL
105ny19aY4M1IYBOPgAMhgyrXGnfDJR6EA9wgx0bANrkmCSAyqJeuxMmsKIOJd6c0ELKtbABQ6dE
zc/vh0KGvgx78lS7TCP7p+zYp4+T7H+ks/piz+ZPH/f3d2U6kCV7LfkmMwWWbmq4JW3Mi1SO9s9Z
Vi2qJPK+grRhxUhzZN8rJ4Qt0ev8vELxe6RKZMfCd7qHZJn68MrEWUFZ8qIuxhBtcEu5kD36DXF1
6SEq8aP4bd3C1vP0PQWemUQzAlvXPog4dDKTTvs99yJSkmwT1bPLAOa89K5TuQcVkwWpkw4IHeb+
TtYhfxnYGRPDS5ybPOLEAz8sOwLesSkIVf128H37yvO5nXCAyWYu2trcmGybLuUI1/aQmm5BCAQd
FrzfCSCTvg1x4vRhdDNFiX6XlmQCrmCcOVdEgKT7OIr0vWG34XMoHMoTCi3wpTn6cA6yWAhcH0YJ
mSAM7SuiJIgGjyZ3jRnePk5125w3mjBuMTkMB5f4xetQs1C117F1LfC0nI+2A1WtIUeGagJHMmfQ
gx4Bj3loWskRvle5WtNCDJ+lwk+OGKOSWNJRxldT7P2y08z7BY9DrjutG89anBjPMYK1bdQ3Ng1y
5I1brZM+hB1/uR+hnnHMn9WPvOm4k92g8m2M2jswOjwCBHqa5/iM7XtdZfM2nDzigsgHNfaeKNs9
/rfxm2eGA8UpJ77Ri0YPhsTM3Y3dK2BugFOtVUHc2IuRdfLYAGu87C01PrVArC/KPvKvKF9Z97mP
GABxA15p1RDlPZrRdG0N2byjjONd41gun6bYGW/aiVQglcbyUmEcOzeUmC66xnfOsppQHKNxyDGa
pHuH5xDZ9TzNQTNqJIM4Ovldq8ZYFq/cxAPektxdrmY9zAhHdV1nkxDiTBV81H/ZiYsmK86rGEDG
kP5wZrcLcOF3W1DR3Z6p4WwUKk508HW3R10cFZuuRsHIhpLygG43Z/mIugbcTxPfz2bBCRoqKT/T
CWOXlDx6u6Yo5yO/bXRvkm5wxOXXnNEhQCjihEmzTt0SQp1TpP7B47Cw4xTtbnCN+wcHwvtOEvu9
Bf9BNT7OkoILgBC49tDR7TggyC3egPag4T3hMhpv2nEo1bYi7EPKwrAGkQNJ7oOCqkkUi6euSzYB
z2MjJcvYkN0Q7uiB+gSOLlkFHiE1zABJhQhg7Qw/aQbPOzPynDOzNMr9WJHdvoKHUT91RJI/U7Ql
oiP3k/BX5/ckmHTwc2hHZcfXv26WrnNHERhQp4oI0ZodMV6Nc6qugDTI7eBl5AMxh2furvQ2thEB
YHgdMoG8ydahs8lOBePQraxc6s9ZJruvgujxzeDE/FW7tbRtQnX1AlBGCmcpMm/tUoXfUzuuHoak
KPav+UxkH4dbTJk632odbWKjEw2l+uzoVv0TPTJ58DDxZBQGgV16YaYvn3ckdFM7XPpS5/a9xvC0
hp9cuBgyLgwNROJqMioVVJpPTcqrDetAOQpzqu4NxRFSIzEcAjhov7FxrAVEYfEL64r0EGCa7p1B
Bfub7Ib5JrHRA6zqJRvHqVEziXHJ/ZnrnmGTbAyPCtfJymj7Aak8iTnwVMYRsgSP3rOQBlSCCJo+
t+IfvsHfzvLUvSta1zkLjQo5mgtTkmo8JS5iAbw9B9H2YNVa9jD6lP5LcrvultyTrbPkZXmUtfYR
oQFrMsPmABktzZlUqOsRH+DWMkjWqPyOOkToqmsLUs6TUTQghGomODWm7Dgzo9dCR8NMfG35k7zV
/mDix7jvMgK7mUjRtYuS6EqmvQ9CB2SCa3c+fNy63Hut5X6TnEXlqgcdDCesZCveQXvdm6GmrokX
IT5G04efQxlqX4oFMkK2ampsPM399zllUoW/JgyKW2Vb4w4xl3Hp0FDHl5mxyEAcPcIbpwfvqOR7
2XfejV8N0IloOH21+sn+OrSa/TV16umSL5W7i5tY20xQiTdabceBgH61yB7bW3AP5RaHXLGFhaAu
X++6JGh9U3Wed2Vm+k4vy4oPX5eeAV828BaiGShBUKwrJuJOORXAzCYut6UPRLmYpLWtmwJ+cavj
eKb6Px17c8qvQlgRB4PqZ7Z+ncuzZ8w3vmZ77Cs8Ilu9RF2Krgy3RS4ilGGUuldkM2VXepMWB6yP
7jc/pGMhQ912Vl7CxxDkGo9/buaLrCNa2KBwS+vBt4DJTlnMEmgYt7GWPLfZpC5ZFKaDCbz+SrQz
BrPK6YGmdfX0APfKgYmGdXg791O3E0YGUMQn5qHPRHoFr4uyn2VmR7sv8AKPxDUZYtS2YVurq0Z0
fLrBhci9aCrNopVXiGyDqAVtNIpFf8u3aTj4LfX+VWh39QV+x9LAzlJW932lyl3PgsMeqBR0Im1T
kopKLnfbuwMs3Xy+mEbIEU3ojjvLNGDbAmTW7v+JhKQkz47ZtshRQPa51qOOVxPoJdn1XeKkG28A
IEu9kQQro8wf9J7pVNQz22o/MZ71CGeiXdArtceRaCLfI05MJZW10uwuPMYdL2ZC9+A4q3G+aTMh
jlj8pq0npxZevTnUVE+HuqGL41IelEPFSleC8UFZq3jnNStHAhzyf+5taOPEjNPXO++llq5D/up1
alHSXVVzEwadkdr7RLfmA7VZggPgWi5XdCViZa6hucaXJHIRC9UnxR10DxKavbTcznWs7TnbE+1h
OZP5OJUTRlV0yHfWsDBGs0Q7i8LhuqfdjVUOdvKYaj+9BtGPYZffiOYzVpiiwnMuIwN4ULFyOlHX
7jyvHbdVHpn7MEwGYshDeQYgte3XeaOLLTvE+FjPQNVlPF2bdYK5p3OLF1FqL93sXCl0QjtTjSih
LaM5UDqHpjYn92MVz2t0m1HAarXnRgxrQwdSHYUc74hM/4bmvaW5uGhzyScMN96IHDbDK0iIvdQO
oGDsbS5qrpc2DVbb3gSJ7NXlhaqBg5ZxhMkoKrduksNlxyrXIxpK48cIz2eQoa+CN9YDzQV/X93V
5KWSuBTpDU1GMz6LU7e+LkmQ/6ZFWbniq15QOK/7l3oQ7p0wcHpucq9G5D9MM0BzPyNCKu4DUq5p
owNSta9tr52v08ht77C7Ztuh6AW5FaotNu7suluF1pe0dDjmWAjS3dBkVOP0PDnSlp+IR5KAENu5
OIPpagX00B2/3YxVZOGr83qVZWdd+cz23vhOTKp3Yfg9Tr7WJABiaFJEYyYq5etwnqqDnGJ/T/x2
t5Nez6tYEGlAlLaGRb1teYobWhPPdmw343qI5+nKNmR6UzoEGePvbb+7LfsrmuixeTnht/1ON18c
sbuVX8NJLAHVZW896MsX0jWKmogTLw5UWfZnceLZF3HRya80np1AyWY85k40nEFUz14gVZB7GBs8
XJiZON1FXfwoOqGvB9ewn8gTqeg6IRo4GkiezkkCorqiccCGOlTanHU7dFeTJu0vVikKeAuOgXac
ls9lpU0/s0F438xKlFtA42AOo3zGAJoT8T4UExqCeOZTSOAhuCzQgBt3alnJ0jwNQP+BWnSFzuPl
a3ucOFXAALJmlGgesMx63tBludfy5JsqURdGrPIrarYe6GFsv5lRf22t1ILKk1O90G3R0O1lZ7yv
fLe4r7KiOpdzbh5a2A2YAaJiCiOaV1nt9fD/0F8XAcclV/tJanVPQ6N1Dkbveg8kZC8MzN7bc4oZ
sXcm4Zfc0uQ5H0WwcW2bPinDqr6kTdZ8q/taiX2t0eRZJXAgMhrwDkTjDNQThylZ3tiWMZb4RxP1
mLUunaIebf9xMPuf0eiNMMS8RbrulWcWO9uXskZzTJp0t3G17HKuBlr3naXle5mJZj3yqM5JXBxj
lLu1vKQQGF2mbIZWqZ2nHeEqTnPRRi5+1TY1b3n/f0iQcKueb5q/AkMMZDmUoO+rrr/OkCNt7CiP
H1TbWXy4UA1CTghvutqqnimDPdoEwz/ak7qbe7Ozd8KloaSVOAXSZmZlrxHx86pBd/MFSp4YlMOt
o+eEfYSAn9y41xHzDNDtmPE0RSt7H6POhOzoAhIHR40or/A5m6Zm9IzACDAVKyG9Qw0lSqTEPUcd
vieRXzwu1OxNHflfUW2PZ3oN05qfYm4a1cg7TLc/RO61VwNFredoDgmqyWhsc9+m9MKHNLcHGskd
qzxvjxIHSoHmc1OsUHwFS2LfJwPRNWmPGN1sffqYJXuqKQbe6UASk1ZsXnMGeWBBzq5UPbtHHMtg
8Ubpbuu8DJ8qP5vXeTt6lAmt9NJVITIQB4fEygSXHSCeatbRMJa3JfIRdrga9eZCYo2Zipsw0dxr
AcoNOZBrXpJ1Yv0yIqITqnQEfYGn/RgS23FVOio+z52MZKs69Uk6gZ6m9d9Tkk7COOv2Bcvtdqih
7M9S6Tdwc9wgH5EtVjKr9gAt8jvJirvqiWHZ+v6g7xHB30c9zE8ldPdoRdW0l2P7SIKzCGD28MVi
IwinDlAF7O7hnK2cOI5EKV52UZOx/63KX70kKH2Ty/rZatL6e+dJSHNQz+PsuXq19xgkap55Y5hu
qJaMTLbOvO9NTU1r4NOOf5nkYGLXVdk0iugfwkx2TUkZeY2v278spza/LwswAIUz+fsY2/WmpoR1
75rdT6WItNIRbpJ5abVHfR5fQOIURyc3C+z4DoekZpjg/2XpoUh8A9WKEWhIY468/843UbgPRcTe
2A6xabArBKaQeC8dcbwbRF5LmhXf12kcg165T4IjiAKY6LT6DXsol8oZZSKt94wX28/HM7tyrK3b
kI6HOq29ikIjGHwt/BW7lnONANq86ZT/q1G29hDx6n0hGhQPmdNVYDP8VoUb/NwCt4NT7XVf9WiR
COJC5zxgQKcC8HEh9G0V1KTrhJJvcWnSGab19Xvp1+p8txJAcwPRkBtJPtgXl1C+IHI53fqCQv7H
w73XmbBotui2vajVT62TUdvoBupohuukc9+YzZ4TABqMUOiftFuMpXL8pqjtOxiAaO4hVzytLM/z
v0Vtd+7Hl+61SD+F/Q8lKdJrXW5cUFfS9y70h6cYNFogiYD6D6r3iylVuLZl2oRg/3l3M2HJeYx0
zC0ism8cZDIXdUSd9O9vKo9wqWHrND5fK92/tcps8J+9jeX0n3bIAPJ2DVNQEduR1p88v/faEbYO
Zda2KM0RRXFyQaovkTeOdJbIvduYY/VIcPnjx5fz2Rgn3R2AdabL29oGhikvZtKQcD7efDzEu5OD
+YcukKnoiDeTw0+9sTVlG9R8wC6iXjePJhaF9TyMybdYo9XSlIN+FbXUWpE26AfQt5+1dt6+ekQa
OtRRef98zi8nDQjbqXtLqwjwjoCGoPOXLhyXrAEhmTYHkgLLzccX/fa+Mh6ebnD6jmmI03evYW/l
TbXVYEwkecB2pxs0g+KT9eTtC27RQ0czTX1n4baftJJ8oFoEx+RNkMgIPWdNjlVVD+cipaD58eW8
MxIXQXwB+hfHssXJNCFpKJmnyasClraS7m13Btvzvm7Th4/HeecxwWJAjc2zYuWylw7Wb2+XWxcZ
wCJR4XPVt23+hEuQKIlynZB3/fFIb4XVHiru34Y6WS44qLpgMxmqH3yqd6UN03UUUq6UPxAVNZTz
l8mhMY2iPWw3jU2JT8eS8t1l37qVM0jSlBbQ3uw4S+NBpgpW2HN2dLy0RpysCM4c4/kizNkMkslm
4d6kZMzmSm5zU6byKAbijceqp4wF9S1fc9ZGx+jig/z4QjEbna7NtDIp7iOjh4WDjf7Pe5rns2b5
Zc897WL51QdUfGkM3i1BG8lTMffi2Oc4INuc7HCVRZA0Jg5OivhLF8CYQ3vGaOpsbfZfCrLK1tKF
D1oVMEi9iznkdFlUWbPtMlyEDdgRiEmpBUFkrBA8DaY4ahgx18qu7IAG17iR0jPXjJNuOMeLc3gB
+H/I6lor1uuNH41rPMFqY/P18blbAHxWMD71Z4FW65OP1jtzzQQtgIKDbxbf/ZO5FhZDQxt24r6k
Wnc+GL514KmrICKVhSzH0BqDj5/E286vhUUd0xhmBzS/p53fprKHYQRxF/geHl+KLsW2QTN1TnqV
3GO/lecx9Zd7RM3R2ccjv/P60tbWFxMFAU9vxBctiFct7t0Sb+Q0fRvc0XhsKPreO4ab/vx4qHcu
ki4vqxEHHv532kOnOcKmc+rLoBhaSqMYKsgXrSH7amnZHvB2w+Pv6LJhejKp3H08+DvXyb5qYXW+
GvdOfRxEivWcPcsy6Aip2zdjeR+piH5vOrV/vQ2wl0XKECiMBBiMkwWRg2AXEXudB6bnfZ2mctyY
noKyl1vWX09TthsIphBGIcPQT81/NeaCPhr6nOZiT96AS/XFSq/G0XF3nD5//O0NtPUFUWouthp6
uidflCjJ69LOGy7LKaxAqyfAfJAujXWXL2jdjwd7+wIyGFsbtgYOXa3Tz1dDgzh2+4Ir0+z72NK+
Yuz/kSrrPhrdT/Ygy7v85/6UodDnuFwaa75zcl2FFSdErtGNtep8a1Ew8TEvw5keZgTlw5FaxWe7
0fdH9NmKYvnjpTv9vODxAwbPiI0xHDO/fqom495akicJNMqxkJjnH9/Nt3MfyzROqdddByOezEin
49whQ5EFWt8fyQUJbDu7Slz9k2HebmyWYdDIQBZh93GqrBo8XSVwwrNg0EyNHFH0vLXii/jxxbxd
RRjF0NlswMMhiPrkm6U0UxFwgXG7tTjWctxb52n/S5QuCABJV82b19ZUfbJKLi7hN7NkWTiEA4+F
1fJk1BC0p4/+JQt8Bw30mPucxcs6my+UT6tuLulkdRM2pZVW2eR54JiBiYmXYy9VEx1ymkm7kW3R
PDnNrQ+UdRPVNZuDZVtAWJtzhjbG/eKbo7sAKJ1Pfvt3H4znL4cfw/PR8v/5macvGeeUN+GRj/Rl
0slPj5qi2PHxg3l3li1uZN/Asfdmy1nYcKrKqMqDUgqEw9UQ6Jlx7wn52a7lvUfhu+xtWYdczrB/
Xo0jcquswQgEpqotutlhjIlJV7uPr+a9FQh3NnpEbNWovt7cM91UUa9lKAg6rGaCz5Ryerntuvx5
SBEjfzzcezePSwK6IxY80+kJ1ZOJi9mBV3TKwh/LvWsT96Zow68fD/Pey7P4BQWS3HeAQqrLSnJ9
eHnyxPGuswVaaoTODyqu1a6NHO9lzOuUqHC3++RT9d6a92p3R0H3zqGH+okeW/aQBRGeHVlqT3Ma
7er0oU7nO17ET0Z7b8Jz7DGZ7Jws36gFc65RuHWXBXVEomzhOng2zVTbfHwzX1HZp58OZocAA2Xg
5j898Pu9CUqCulvg9aP+kMR6tdNQHK/C1BpyCvRiBPDiAWyq5HDVTGV26ZD6tI+h/m/nqXbpLqXk
vTekyeajR1O279PPTrfGu3decMLmzbTw1568Li1BnQ6gCr42yqZWKJsnQy4xo5bXEVfgfe0V1QlR
x1QySyt5yMahO4R+9RjT1p3dWh7rkQReqkg+pGmNwLyY6/j4Rr7zrtHYYgsqCPFa9od/vtG54HeA
AFMFYzn/qGdD7nQyIqowp4k9PX081ju3A8w6L7azKFbZdf85lmlgfcThztY+NH7oFBw2haM/dVNe
BsIv0y2aYfnJDuOdl84wKNuzo+GL9WaLPbQ5oSdRxeWlzjcCqrS1SeueYmY7ryxzar407dhsaMkO
wd9fK3Ayf6lIsUE8XSltwABJ63VVwFntsnHHFnlufoMsOVrFWfRAllj09/u2VxqaLfAm+yxlJ3fX
peXQ2U0VaHrUrLGo0ZosLXkzQuYKCpeD9MdX+M6yyXjsoSw+bGwWT3Y2ZCzZMUyXCgRchITbbseN
Dux4YyGL+0+G8gFueKD9EN2dfBBqYSeyIAUoMPyqvMaLSDCnkO5Z0hvGJ8vXe3PU4oVafAiL5Plk
jg7oYsqZykDQFf19H1c/HYfoyY7nl0TNjdeX8u+/PiwQumk6ONwprpw8NkNRcDe7uQxm0tJXuhhv
W5KPIZb966d5Uf83+gkkIp+iqvw/VL+vK6KTuv/5r3cWZrTFsPosKs/YOJbn+VsRp55HZCAhR8A8
cr5GSu29ubn/ZEpY/IyTVfmPMU7mBAmgWWrbjIGq11hhbKqPndM5t2YP8DDMwS0lRKWsnLGtNx2o
2C/V2GL/cmjY9DibKP712rYtE9o9tkIGQ9AD2SdTDjpVtsfZtuMbk7AcolCG8HtY6+W+6FBocLqF
7kwU0CF2wB/OulLXjtEi2MPsZdzOfoHiojS6bLdAP/f6AMOEA5SKrvAzsTuskmRVYpe9ism528NA
mQ65g05rsOLiYoC7DWrYv0+qrFtzh0GrUSsiXQS1UIBCCWbIONcElMUOisFsPK9sK1mPCeShj2/v
e3PTNgiPYJ5Y9ClO5qbbdA3QKOYmWsGnRsknL66vbEuDlldtyZCq/oPXjj03mz3K9yjjT8Zz4qls
QPqXAY7WpeZ0SdrgYZTlJ5vXt/4CSJLYJyj8USN4g620CamAfuOXAUrSm7pOWoRD3kuTfaETdUFX
eg3t9zFqy0+OTNb741Kl5Y5yuD49V/h10eAQdqiJVNP8LVYwagg30m5QuxNhR+OcM07jFOFWZkMD
HxilEIl8LOQN0eoOUl8nHbWDpfdEkUkbVBvqMCZcvcf4QRvLT58JVeKgrtADZWKONsQmu9RexLyJ
jPAONFa39manWWUyBV4v5zrapvw+G5nXEMSEcZ2+ejzV2OxwdPHPi9lZx51Mt0IT5kNjOZ89ivfW
dBfwkPDxI/BAllv22xqR6J0Dnm4oA10+TXiHVtOo7zNDDp/MrPfWot/GOd0YDfVQ5BXpFgFBJBgK
qTesIV5sP35d3tvauJbgtGrSb3O9k6+G3ph11RA9FdB0Il3LKVccxr9WGcb0uJs+MZ29Oxj1Ss4s
QKbebHvdlsWozHlXtNiFsVHN+8Gud8jAEFTK5JPb995C4FL252uBZe/N5jefJstNkVIEbdremJ2A
lB5OX6u8/SkTzFux+8mdNN6bF4LOGgdYvFTCPLmVc1fn3F/2aanKY6wepkHuUjseTGrxm8rSYmgM
jVyr2rduEzjfwRShbI74Ul14EcBvv7KnLwJfABrtMLLnT+7Hu78eCyJlJOq3QP7/nLYjEQdaFrPN
GZv6p+VHD7E53L1mMHw8o94d5x88K+61N5uDjljruEaUE3ASranmyKcSWj2ZEu0nH9L3tq0Up3Cv
6csf4uQ9tEYfGTcCrEAiHI87dG5jedNWDn5p43/ZO6/luJFsXT8RFPAm4sS5KF9FJ5ISKfIGQRnC
AwmbmXj6/YHdfbZEasQzcz03e0dPNLuqgDRr/es3V5iGfarK6B2g4ncL+KePfF2w5rNL7K5nVgfs
dPa4GfyI3BKGq3/qmvdCp53frV86UoZklI/0wq/6omHR/M8qIFtlsPXjkIpnmUX+eiqtEMf6PFkb
wsjwyjFrHLgXwrFhLfSsDuZPNPX3mFul93G7ZOjZ0JaRtiA2SIfuNpmjZhPWJebzcR/uVCDDu9Dj
1Fz5dQ9rwugVjjALtNnYz6YkHyZoQgxBzce8GS/RJIotIvgfWThhkaudbDviAngrYF5y2dveO6v2
d08hWpS6QBys29cDWBIlMGOEpHyYBfHEw2wRyuDee2TcgJneD5mW73zg717xIs9YEqgAW18/dpFb
iW4phg5ZGxmQYwh+2c10vxsniUuyhxZi6p83zG9+Ivf6ojaOEOK86S4jX4cVsUDlgZgKd5t22r+o
Uyo0nTf9PaE5M0ZN6dc/f+YLX+NVEQr3hrQuckWB7l7f64lBro8fltXBr+ZoncrRv3VTayIBQHtn
aVOWd8Kuwk3uQtl64SmHKQG21TgP2wEu0d6QEsrsO1/qNyAmrATsSJdTO3jT+ybKm0U8saP7OYbP
5iTuDlaas+vjrt/jzuWsWCnQp7xyG2EctNbMZKBfu9bmz1/E+c0ZtujCoWNYtDnua3ifrM2EaLCs
QrecO4xGFnJz5pTzNQTL2jvjdQXHIYeSiM4Cd9oSENkyKuao+PJNH6UjzZ3WsfkldSm87WE2v1AW
45cqWVLIJoodzB5vDy/3B8ZzK47saev6ebqFMOhuOqMeDqnfBiSwjsEmTM7spiDOyanVFdsWJQoZ
ifN9Go7RqTSDB3PUxTuN+e9+PxMwNOjYuvNcl03yU4kD3JaX/eDw+8tC3abocw84pGb3mWWkuz8/
6999FOxLuAao0bk2Xt2aDJ3aFrOb6hDhY4i3bbhIepQoTlGKT/afP+vlvb1e9Qv669C9cg2+bv9r
wy9HWWU0BxOZUSvcmTSKj9m19rFopk0dlNaZhXfxx0HZ8tK2jeTaHgwCp5xS7EVt/jfM8P8zzAAI
i2PwX4cZXDx1unyqv//s4GD/9Uf/5Bh4HyDnLoNhk3YScIA1+o+DQ/QBnBreEaO5Bednyf2vLR8T
XlZ25C6l+88ODk7wgVqC9gqw1SUF9d+LMlg2yM8LLVog8kUkDSBDm/B6VdcmqtwqLTA+SCxvXsWT
W58zz9WfK7yJYDt779kgLNvk1QcG5BlwY/HN3yLKAwMfjMR8fVCKctc0JgQ+vsz2P72Ej3/9936G
R153g/wsWLmLiN/jaHxzOQ5M6iZc1NWBHKgM/yrVXhdNx9kYEFJiGrJcWT0Ql9vmxk0vA/X5zx/v
Ra9vCCSUPhsXKlSIt7H5Or1hHHWIb14wHHCGKdVOwVPZlUGKHhKixDkxtN1JQdXt95ChK4vYMyfu
V53IqJR6pqy3DZSkZNXgO0/TjLMrBlHoEsJZFjttF/y7SEAqMn5JqZlWSqAQRE7YY7gK71Y/gywU
Nw7JAZsZTcIhxYQUQzW/PYHgt1+QFJJMNlWIyERiaRCPlrNtBeA6H8xWWZ/g5InLTjJ0Qu+MrMpB
MC5JYX4KyQ4zIXtP+jnt+UUTMfN35YgvW5+r+jy20C0jz8E/VzZ2fZ7GJvB3psWDlZj8oVRZdN63
ajGR9uObaAqqYTMREdYceVR1he2Tyd/GHL7O3k4mfqYZ9AjY0ah80o0ON4Fq0isPejawTATJDCkJ
JPsg666bcsJJaFqY2vkQhKvehxk0OyoDiKjkxolJ/C5Gu73uqyE+QclRe7/FqpuweL6OM0x3uVlN
d20++7e8HXsLI8be1rZHRICv2m+6keyHgMojk7X+jIK/ecD9jjfTct4e/EVjH8gOCdBQR+c+ToGH
tk31s0Qk89ns+BNtdv29D0v7PFaJe0S4Y30ay5nSaZD1uWqa6LyqqLA2uNC6+cqtoPCv/HE28WIg
KLAXcbmW9WRvyaArboRP6sNoJbB17aYjE45/TAoIgusEcXRyMBST1NodW5y12M4h5tt7PxvLYxPy
cnUgJH4/eZluegenCwyg+vIoUKaBXHgF4lJD7UlRKG4SKHw7n2DsSxcC1LqMkukHCU7Eu6G2Azsz
TQ4Nq3nMVDvdMe6YL6J24j9F5vJeYKa4shS/OJKGuIyLZbMbrXdlJOYEpZPfQvRjtBoiov0mNAXV
akrr6YdV4CCODa97lbi8iRjy2MqtBVmBBv5LGxTnPNciEU9BGXlrXJbyfDMoA0P8Jo3jG9+M228M
n+eLWqb6s81Fuq/RIGFRSJICjpnDdzP3rU94x8lNugg6yHzHICzhPeJJzKNelmhZq+mHxgFyNyN2
SAg+4E24PkRy12L949wkHsokiE9lXzxIox9Pi8M7qaDP5hiZ0yozKj+lQa5szHm9RxTH+BzDXL9L
bNYmuosi29tIozauWz66cTD9INFcXIrcY1Eqm6zqlBeFqnLYkaEurgRxZVcRaWdXo46tTzWxjA+j
5zePKFdYrQEa2c6Om0cHOjlRq4Z3q0IdCtSZIbLNWjZPSYgMkPJQk33WRcXm5ceFKZugb3rjRmlR
E/Kd5fMFKG1/L2jDbzTBUOEKMLZcWwOpGqrMq7UvzewwNDbBfypW2R6pZPcNUMHkNVXFGCAvCNsv
VobaD9lwAHncJuV88FF32veArwQ/P0xNLYdvWTe6DxmyjCI5TM5cE8g2zEa9hWgnCbojutA7ycQZ
3RuEmUj0llQ8C2XwuvHHtF5ZnoI2SCTFjnVIlN4AKE+Mlho4msb6cmwie4U8KDq5RvFxMMnja8zy
xvDGS7cS1Q4BiXc9d2BJXqCcy85LbmMvvqwQOmxMML5DYs/psbKLzz2Dyy1mZkQDuvprFpI74k7j
9yK1q6NRJ9/0SI5gOjMPqq1RnDe4p21Lb1JrAJLhu4XobJtk/RnKpXgH29hCsktSoaU7zBECj/jv
JcfQndENGpGY9LpDS+jn4ckoRLvJyraeVyKK2yO8G1jKBub+iCq8VZUVYJJVWT4nYh5CsPc6wFkB
v35snG/0krhoV0Z0liPhvwCil8hW2LDoPq2zTMNTJ9MuOc7A6mvbmshyXFIdqwB1oRiccNtIg6B0
J2Rb1ovPgQlR0TbIh5ReFh3GxLp1luxIwJX+3HoJlLR59t/6l5hJsu2InKxe4ieTciAtUhDy6Vvy
sV5SKsfeLte1bY5wOCMLlDTCm9pbki01EZdOI8d98hJ7yQUe7pCTkYWJifg2r/32hvGsha6t6Hew
tlIc1AoSaaJQET8wQfB0CnVWq0VfsARvIlUgg9NXvt5H2ZTJNRPtcBMtcZ3B5DoYfDnMgiw73JEN
S64nOCMZn5pDBEV0IeyeeAlEve4SCCqXaFDyNsnaUdBOnDRlV/XbJIFzVAO4rPRgeSfhd+rzLJ18
3S0CZoZQB1lunMloThbZBk8koHigbdX8SeSiQZPbRwc1e9GxIhb2Y7Ykm06k9J0KDD3Xvl0i+VgS
UEuJj2DvOu510AMxNy9RqUmHHNIU4a41JmYsOIms5BKrSmJ1/iXwE7SyS+iqu8SvjtFk7LBybSDK
VtclWR7rHoeYY5Y5ylnBnNwkRhLdYbVh7cuMFe8vUa/hpHC4k7F70YD8ZatCGjfVoMJLq531CZ9S
dG74KmJ20PqEQ5JpdIn8IDiPFLx3EqVll6xKeGOQdNLiQvSzdRRMW1oMh/3urJxj52HEXM/F1VVC
z7XxFj9LdVKE69zKzR8COVGJ23Htq42Zm9NxbttoLSqj24842z/IcswygKAsP3eHpP9GfpBvXli9
OzGBs2o8LR8QBJlYRxU9OrqmhoViKGJbgtSbvjY5OVBDKZe6QLTX6G7KDWT9utki0s/OsK+Ft4s8
MQ9YfhVZoc7UnUdt37gwbAEOcUX1MlSKeDKvc6TPV9qOs8Oc1uKrLUKjX3ek0yzvxly9lEh57nAP
wavAs6THTNaOPQ5nMXwPCb4RzEpooXcmeRYJBiOhfqaPDpkfGvGNYOrAHigoE4KYPL5N4o0URGlW
rdtUeFczGvQboxGCn5s56W7EJhCdIZOgdUWRl2IzrcRXJUamWwTKtih/uZ2hRWOG+lJ8tZltfUIx
2n8nNzsPN7aX8vusakGTlCYOmTLUv1VYG/bob9sWdTuGops8tcsjwH19XiL/PrhmLzdVg0n80OVJ
TpyrjeA29Xou96hqjJs6ica7zHaSq4SEm03t+eIymV++RdR+cfBfzcjyaJdDea7084CB0CqLAsqT
qG2tjxyD9XdH+HTBRgLa0VMmnvyEg2hVdXydRXi+Ty1jvEszk3dntUZYr82q0/uk8vWZSb7BNh0n
uUkWUVhDsfUAz7Ra93opf1EPPQSDKvEk4CcA7EC8qpR+RmiQEYAWN9s6z6KVlUlsLbQXmwQxCqfE
PYsQgneaCOttE4GoIVz4hlhMLEO7X9ENbyREqdSIUxTKuzW2pCLfthXZD41WrIoMRmyUOsHzZOvp
gGNJsjMs+wly/D3GCA5DPq4pg0jkzQgj+mIiyOVhEqias9kpzkyzch5tOHYKCY8gMwkBcXiMfavY
YBE57zLFg6x4hYckwumGRB4Ue6qiTiir6JyLeybYytFn8AbkpmvhzTbLm7VxDrqZks6/NbxAP1dh
YuJoVrsuxtc9axtLMuoN2ZTHcWThpHFDrUSTQj2YFPxLxCfw6jvMQJboUWokRYLxdQ1flneJxpGQ
XAopLMb7lYtz963rFGJL1BK5GlAbzvOx5e63aPUwtJjuktkgFxdRVfnYOWPhn4ZyDvD4jGXCQ8oy
MqNUPyhiz4vUXI/CiUvEsw6GunhVgaj0LtE1Y23fNTFuOX3roNMO/LlMjni1Zpt4Xv6HmEIq3pio
3Px1nEG0m+AjhfYZk6Ue6aZDdr0rqaU6M83rDebn/OKkjnBJZvFjQKMooQKF94ihKa5oY0zUZBSA
fej29ya67zUCX2/de0bTrStifS8UimNUhK74qvOx2HXZkO3HiVvNLOR8wIuJQo6w0/FuyMrHoKNu
n5UlHkKii7NNp7OJYp5nFy060tM8L9iflxo3iGqdo8WGvS6cKdvH8OjqNQ7M5XHwwuZJaaN5crWF
tscubXtVK96nQ8b2RzqA8Fy3Jsp5SbPll3V/X1fUkBieOkdTDc3jsNTUdRqV67Qa8JZ155LwWqRX
486ak+qIDQbVYh04pK9mwXXldOOdaY028Wd28+T1XbZH+KTPhEXXsunqmZ03NFaPMSuNfNuW4nLA
txeTW1c1T0NcA4SHAxVp7LqoGYmKYo/05oihGAHqLyGs7bemVjyVaiZJiap85WXufGB+2Z5a0YKG
YHaOm1O0HF1phZuOp8nYLSu7/QIFNTy3JO0tTk3ReULq6omovPrcJ3tkz6xH72vT9tZNWE93JATS
Vkmd7cOl82ZCJC6rgr48yGhPGAbNzyG7dN5m4SweCr/6OKlAfB3GgTbH9JIrq3bxEpApk0GX/2ht
LAXL8q2VGwEehBB3unXDvOVcO7I8WstWJdFx5iIp5EbQpD56rcLvrSNlb5UzK9mOU0ZHujQNmTJp
nFLlttdm3fFmmpwr4OUMFHVSYxGY2Bq75JClSrFBP+2gDwbQ4teVgT6bE9x11ASq8bIMsWnkAE9q
rJ/UaOCDkdBpOr1ur1867dph+aABKtc+Fh4k2tF94NqREXLCRVYyXzofY5/B+NKWGYnBY4AOS/CN
y4Z/AVDmDAujQtCIyzR9JlJCX8xst3qt9BLtJRfvtDABNTCFKm5aAfVkReERLV5XpPk1eNW0I/Ye
GIvwihOJI7zC0mnFvNSmeZ7ZggyzgT5iPwV2KUxvLUaj2WICTBsJYCK3NWZda6wg8f8iXfaWi8bs
ABwYZoG1g8TgntJ+mR0XgMIbZPsNr0p7i+uH/lzjO7CK7a48GktTi5KIY41OKj69dMgoSc1V2OOl
ta7njP9SZdNktzNHnGPx8S99c4Bd0IUqwMzqJnWPhmn8MM15KVMCg9dXVlxSbQ+x5a+lmQEZCZeW
nNjB+Ma0yvpcNDapb0RynodD334hVnqGnZuAZUCbrM8lVP6ryaXCXSfmwOFu2P13tELNo0q6cNOZ
bXQuA87ZRqY8wtRru28mJm5oqguCKHrK1m3vUxZh5x+dL+u57ZZjGMFIf1b2JUhQlAXUGkXHn0dD
q88yaAyf0gVtlG2+3AIUxo9WyJJw57H/PrZx85RacXIVjGRoWN2yfnCOwAoC/Kf0+Tnxgjq8lBVh
BDKF1UZxU5FGsJtdrkkfGs6nl7vBGoDexjBJrwKOfPp9wKvJ8NyrIDE8rgoZhedtxBNudWF/kp2e
1lGFyZTfUIG4tCHr1M+tT8LHHCYbeZERwNxRl2Z9jslffe7ZFA/V8g5S6qWHHrKZ2HVzQ1EkLU4z
N5nutKQ8EQW4iNmU9iejqjlsOce+YA0kHpAuxCf6Rn/9AsVMA2BRiL/OKSHiaJMrgAxCz7VYU14W
uyRUrJBG4Ss7UGRWbGxE/Q7oU1OyKbQ5NY/YawMMSrA6J4sp0QYKFgfXzY0NqLflsmfxvByzKuBp
0LHrs46conu6KS2IpqqWOq5XdP+doz52NMufRUC1ZBA1oNcTgQlX0AGyfTqxj4qIGG3TnwS1tcNa
M8z4RklwCrtUVXascWM/SVEC3ixHJUIZe9sVTnGFjSLOi37mgTZgrua0EfdDSqvKnuxABSHD6wso
8yg82mD8EdSx2g989RXxmGzcLKL4I1ZJfMWrh5Kj7WcSpmo2WSay9AqHtcdp8nhqc2A4RwIN2CpT
wTMYSpMqdJLtF6qS3F2NSmMnglVDRN0yetmlxBHMWsmWcqJpYmdNkoLeTCMvXIfoFgobKPPlH182
pq5yrhjDGrtvnuROFVwqx3oe1EdsAfWuSvNs38iGDZ257SkJPA4ZZjzJFWIWRtuzl80Xwp+phGWg
cegsnkd3bvxt2tM4vAB0QY91BRaDN3KpArRqKYUJAhv3NHD8YnkMyhxhf+g+zF2S4pgAAj7QyG5H
L+DDSGoMT0M8vMcvs17THBbIGwkVIjgkkBhDv5rFjQ1RnQLpyMHNAIcJlBy9q8AfbIIpcR3TLkdb
GlF8D4mpPgYJyry89zCkoThI4prepSaXoXcmfVZL0X4ZR9e9wj1QfeZImN8Z5r0ZKy9fdpHrQwuF
wP/GcZcBXxFMhtMfjMwhz4o4+Fst6MVMi4RZY6QxAa2gELUmmiJM5SitgDJOBTXPUy6AVl9e9p8L
/peR/a+zEQfqnAsFCDqQ+4Z2lGAvYUdZ0h+qymlZaJGzeCeM7fksjWnfdWO6oXuft5pZJIXOCMiW
C95ukC6dHKKAm1yyqFDdchrEXvMdc/vgOvQTTDEGDDtjo2vI+Bq8dwn8bzsVogVe3n4AhfiNZKWz
o6JJEmM4JIbdnmLYJgtyT/XY5m2Hg+AyiXDacDNxJj72mlukljV94Th4f89e/us0/47TPIo7Fwbv
n0aVff/0LR37H8PQ/zqvfPnLfxznow/QO4heR6HlwKX82XHe+eBhyADhP2Ss5pLV/f8GlgSsL1NJ
LAjwll+swTkd/rGctz7YzsKjY2X43IYMQP/v//mF6Ny/+uefJ3tvx/CLHhQBhkV9wrezf+2JI4f0
50IY4kAK3nNKy7nHeideEfnxHsHmd59ko2FA7sHA6w1Bt6zRqy9t0yG0cZjD6upR1I1akekw/tus
cXjA/iIsge6PkcjyTX5iMRBkE88dgUw4dhTjOh7Nq34ipcpv57ufXvhvxqK/+UnsTlw1Fq6EyWf9
+kETtAFys2dx0NwrRVk8E3L4nPP//5OP8UKop7zxN+8I+ToyeE8JDhwZbaOQ4SIJMeW6UNl/8OhY
qxAkEAgzQn+tW0iEWbm4vwniAaruXJkjZXBj04vU+Ts/yufZ/Hw4h2SN+swPoJ8SEorby6/PLpgq
ZmiRFIdUklDtj/pGJ+oO48A7MRH9/ecn+PouffkwB1UeSnJup9fSZ8PyGvZmIw5AjYB8lDSHPGzj
VWNkT2YIWpXhbLqyNL6+f/7g360Q/8UL5YVt9Xp7+V0DKgN6eeBeaW5H3IdWXoQXKBYezjssqtdM
gJffyH3HqQBdjl396wOdx3zU6PMFYlpMyyvmpFtC8eLb/+AH/fQpy831095aGBaTwVDvYEQKj9pO
3U0V0ZYE2P1Hj+6nT3p1MklypBsG4iyQctQbX+VPc0Mv+v72emv2QvXi4W0Ed8P3GFS8wgWTkYmn
S/F/GFBd4MXVN6tBQbSUjvulzbC0Ajdk+AEyu/M6JqQYILwjHfXMtwsFPWAYsjiDyMXZYdkuPz3X
Jq68sGpEBUPJbjbCnAxSpQRl7uxWehsx+d9YUWeRkud5B7NTzSYvnYiy3q1PUDMQxEhacdy9cVXp
mAV+e0Gygzx2jksQyG4MimeNa88xma3pQgR9DD1i7v2VHVHDNIJ/hXCmagviZTOhxxYwUG11rbvI
vi8Cuzl6cR4/ThW1uqyUdyBdm5GJxipW5mypIlAYjPeacKQVRR2VSUubNQzIeseirLcQ5+pbHDXd
E7Z/8lsbc9FYg893x5vwWuducybDfsrXaRCmzVa7JdmV+JkiVuT7GFC6nqqYH11Mg9g1USKumCU2
mwGfDKixThyTzjaWkQJJH6K9j+PprjUZyOUtoL7RCWNdmfy6ueLsrPDjWgPR23A4ON/SJMOKEv85
rE6JaoRw2wzrCZHJya3oqBDDNWeWOcCdragNw6gy1mQK2vdJOnlnKrHyxyRsyjtfAq62vSMeWuLK
72N+u1gFEphQVO44850mgtfTQETD2nE0x43yXaAdA1jjrpcYPtN/VteGkQ2PMY8Go8tWXPlj/mxa
vNMRw7d7LIufVS/j28Gfm6NcTue075szXS5jjo7Oi+UbRWWKp7evbvDUcY9cKsMadkq2n5LSWVGJ
ZItJ91ifsgTroZU7MipNHBFd5X5SP/uECVxamO7v/bFEbmEbkoHBy84reyzW8fQOz1OfR1ZkPAR0
PfjDu6leV+TQfwpn/A+JhsiKxwg31lXVymaDd3kOywDf1Rkr3s4v9xmDSnFhAbFGGz+Npy9pLIxo
y8y0D3FqKTJSBwHPzsnwmO9DnM4+MWCqnu0gbU78Rr3F4JHsdzNsD25uRXcNm/uTQxxMvsZ0zcNB
EoZOgSI0nfDKVODrHZJsVCc2r2CIVeFhKi8SsruSwkDv6Ed3fdux7VxzNtaTyy07YzNL4y8WQ0Ks
8dI7tMHJtB/DOn+KIEfvopp9hBcPtKIsmsp9P8WKFjKavszdXOwxbxoQTxmdne1y4XjzdoY/1K66
PpHjyleF9RUpfv/dntlbrsHscVNKr/88BYN4SHLXOwt0yTEOJuzBQzWcE3y4jDmkzIy1VfAmvDQp
HtvErk8kh9bMEnqb8Pr8mV48gjrkOye+iLXD4ltvDN3TmqcwKC4xm2ZOnZSL8yhvaHS4ffGZAkcO
aSMI7Ylv86nDjjQVKv1Ri8g71IUPtOynPtl41vhF9Jr42KrBwzcaWQizDGu8/rLnHibUqjWwO+2t
co+T8I9h7IJN2qvburVhOExfx1Rnp6r2QUxj4Z9xGwfX6cimZN6ttqBp08U0dNE2KdjnyGHjlS2C
4j60xHyG2d2umoGqklmJYV3Joi/wziXW2hlKFjWnovqYlvBa6jGPrhzqWiaF7PpiJN91mkTMyISE
ibnjdKvkMO2t5eoXLr/brvKnrDfCqxAt7FOp8Kl2psGC9i4B1oh1PamRFYXfUfw4RrA3zFI3mwkx
3tbrZ7ZRFbYR+vERJzmjK4k87DlzUmItri2/a5mtlE+ex0HZdZwfOHIH13OGYbnddXoTBy24sOeM
4TWGwx1AOGEqhNWwDMeoa/elWY2bXOccYvbYbHzJR3dg1IcMD0WYBpb8lqJ2EnVZY3vaY9SKPcu2
y8orR2AWm0on5CVU4qpvl9K+sZuz0hIsJkAYUk0ry0WCxdPJ4ghYzQdzfDl14ck9DEVo/TAlp9W0
rBHPnK3LIh6yy9xTyW7SyIVwmM7blWEMHikY3q4HTl1jkUmSqDNzIg6NWk+z33yG0RRdzUFcb5QZ
dGsuXIkpxsDJXZpdh72EX3+aRBKvQ7+uT/E8Vtf9yNljJJweMmLTF1PFMydsbufkKMOSesoundg2
v0YWKbigjpTEzXgVFn156H1z2ucp+ogqSoyLocuunMyZvhh53l9plQ4XcT7fY+UsYdDAhAs17jvu
bHmHOcpmJivk+RHrE38si4egxRqYGfBzkyzWeUP2mf18101mcrAxTCHQoWrXg+mgN9TQMLgWkz2H
+1fDa8aVHXDpLQz/o5Gl5R2mvPWpqzlxzCqEM2VaYpGzgz/+dcjizo7ugHewo/2Tq8In44R7u15j
q6fGA0ILt9sz91nZTCXkauijvGbsU3KY5fSZLUskj6o1BMHiWMvWjPBdDhYBJ9E8Gz21M/HAwskq
ZrHtYMIQke3ihW9/7iu7OsnWqU7km5qCUQuMCZIdx81oIfQoQYQV5gVnWtqqmrl8yo7zrwpkfNMy
2EHfXOTYXLvZVKUn4gsdrLYJZ5jCE8yepl6R0+mQ8kg7AKt+NeOY9tzrPCXcgDz6H8KD62NlSXBU
jHPgO+qoW0BLzwR7V5zrOlw420QmDMPH2g9wSM5dDMkZ6iU5yoS0c0FERmti8Gz1j2FhFpCaVHkr
c0dBabR8MFfqe/gWItDTqS7zYpMJ86sbjgeR53AYNPHPrgfP3fbZXxwc0zWBtMaF5dQGfLigwhXS
tfWefWo7qyZnYD0S4HiwW9w3VBs/FalXEA5kF8RAMFglO8D6gmJAXRLFiB89YL+5qV17JCO0dOZL
tmvyLSkDrC4KqzeYxqiI6tYwjpkiXHsXJBXnm+tzfLsJ1QkNGyneEgtRbyP4wYeC4SBjS+1N77B9
38ogloKYgDAP9SeGNq+7QIHPF0lZY3FIq8o9jVNfPTcOXrgrOcjerIjdpLQqy5LHlubWcLmE866s
AsGtsCir4O09cXHVp9AGo9I2rU6fCfiopR69MxdP7vO6yztGGX20HaaWQckAvnZIFgcsh4yYZusG
VXyLL6L75PhoKVYR/2cfGlZwDVmP4zbWCtVyluWPL2dgXRMftZZzYb+rTVnajF/61IX7HNJRRR7w
Jh5Tvxbm/UywzNib5QHAmrPXlkTM4gcZIIelZiJFJrvUaPxgIM7UWEVE7BKHn3c2OBVkISt6r2+G
Lv/2+wDYYASIDdUbM6MgIbyFxMPy0FXW3WgyWii4X2SQPdXleBNrrvw/d3xvGnUWA+4QfBIZpMBO
r7ojiD9elTBhOEwtBWlNzgmXNaVJXafNmeHiY/7nz3urp1w+MPAWMRY+GG/cIeqOYs/1C3x0QuJl
VpyYzSbr64nwKxbWgCXmtuhZa74Xyo8vV7Ak4cHfp7a0dtAvjTXZXN4Thv3TXpGP8u/22RHZjKEN
4ZUdwnN59TwQmUsf1Vt2iOi39x6h6WfCle/twTeIBZ8CUIEzHIaPaLBf9YNjNk6xXzfZwXepXH0c
f7B18od1CzSMoXtB+oHOqdyZxE5f/vwC7AUp+HXJUx8AnYeLQ8db50xtFe7UlRLdai+TmFEyHCkj
jqPHaqQu7Rvp6avI8KK72tV3RaTbZ0N4cjvoiaSroalTcuKTjmTVthxDh3mFoJYjK/lA8QspAcrY
9za24uFoxFh+/IW4/Bevfg+vdszlHP/XePXlj+np+9MvQPVff/I3UG1Z7gcThQeSGmCIF1z5H2GN
tSyRv6U0INMmhj0ArLbrgWovMvi/kWkHaY6JfI4DEwgDRcW/hUyzm35dh9w8pCouGKHDjrMJ4vz1
6E0HV01oQJ2LIO4Dpryud9SOZXQw2UoYpSnNPPrU5gSg2VqEtrfT1pwRlUsEjns86NtzCGWj/YVQ
geKyCcouPWvVRLqyLVrlbcaO5etM7vRlKCiOhgQDtVRoW62jKZwgDGJ5ShQVDPr9KLV1M0K4eqin
eLoiEC3Gdhxze+7umdBoon46ucsqPOYCOKoknBU0jgEhS3s/4iuuRJqrAv1P4+Y0Y0x9Xa0DjJUU
0RkHhIgzluFFDuYxlku+ky6K78Qat1dZgk35SgK5XJGE00ObhzpubmBbL/4dKiuCY6M7d97htKjE
vqdQI0+w94S9DOX1xxY2gT4mtNDE4lVakXHMF2xICZlBasiRrpxrOyTUNHLz5GbOC/ygSrmCsVgO
G5lCN1vH6FP2ueyCA7l6NelZbgOVO8Mm+2NHbEW9AcFQg7hwCvszO30IZrGR4FVDeyDLKxv3VWwn
TrAPycjBqrXLzJls5LzqanNdkI916ZAiiH0Ex4dxdHurAdUQSQs7Jwc2JukDHk9plOq+F6XbOzcT
VIRVhwWIAMzI4oksoHZyoyWPJyNKDwJwR9xcKMKEvhYfm2RNUZfHV7GlDSLI4DhJwgAHZ9EgjLTb
5z2qqXSTtObirAvd0orBNdMyxkC3n5aFw2h+VrkHgUYRU7UqKp/Z/2kYxlGYl3BB88HpaOz7Sc6g
X9KWvfUliVOC9x5Uhu1B9x3WylCRUFbMcxlfv+zi/x547x14lrXMxP/1gXeRfcO06qn+5cj764/+
PvJC+wNqNqoatILIiD2fE+hvLWFkfnARR0UY33rokl2fY+6fEzD8gKkTajQfFimH7nI3/+9sjmg6
rCaXWQ1VAv7nr2Zxf5rNvbZIA8onwtaF7Itq1cXc6dUB2CoDhUPZW2c1jKOhXU9JlalD5wFLwnqs
fXZwqgkuyQvLkDTYGFvCMk0F7KlIeE/kA9a2BfUe2zcyJXN/xlMWr1Q3P0vs1iDdMGZLUmD1COd+
etIf/yoWfh4rLt/spxLCpgJl8LYI96mUPOqkX4/usB9liUdDdwb7Ut1YaW2sPZrCcz0FJgwQDQ73
5w+k9H3zkdjbLlUxg0yft/lqoGRkJSlrY5Oc+X503gwB8U3lRG+zx3SJzU0sqtEerM6E0C3bqFXr
0Z0C9xD5VFo7LyHw5hgHCAZX84Qp74o4UVBbeyB3LawzRDdNPQIvLcSq0raGee/GdXOW94tZMAgy
PYpVxJ2/+h/2zqQ5biTNtv+l90iDY8aiN4GIICM4D6JIbWDUkJgHd4yOX98Hocx+EpWPsux1WS1K
VpUpBACHD99377lSyWqJXED4iImmmmdteON8Xy4chSyxuK993TbdJpcBlwopfiY75cdricMltXhD
Fh01UI83wlG+74ZhD75DX2kPy54SNoNgstncKpvDhgakBqm4J3JNBVRNIz/JdLJDZTklO0rI862Z
OiWOnjSxHgU6wmWT+R33RtyLfDFSwh4Tb+JnzFYWzOSIWu2LNU7kk3iNJdObOa34RaF27QPHinT+
oPCAQu+RBiIOK09Fh0OdFuw1XCff2Hu+9tpnC9VWeuxVx/hLunKheO+74/2iapRZdmnNH9tAzMYn
2+p5clkHvxuXRzM3B9UGnGdH6PALkTBIr6lUjPy/7UAU7o5wRE6Q8yJR+xrEhaSrSpb+RUMkHGJ8
TCrZil13X3P2rE+D9sKnkWU4QYImKN9IsJWQdPirzU7ykDLt8BY8h97+c4oNsD13FrOqdjxHe4jc
zOaxZEZJ1XR20Xo86KXhtY4rOf8CkkaZHpf1lfjrwwkJ8uH9kYNzEUqDSm5W9oYfkWYzXaUJmWRG
YOKqYbmez1cJfIC+NhMgO5XmIyzxb1HOgFDnb5vRKneY15Jt6Uqxmjdm/Yjmp79mu00lqMpJZkPU
NOA+y3v3SuvEezJGX1xPY1veEreXvFqUYs/plDlBlFm1/1onxfixtc18RhnMkE0n9ELjNPZBlOZr
BaEizlUfrdlzEW43fvhkANPq76xsMbytO/oMm1H5PN4pqzx1Y/azC5rBZVMBSmSQtiCuywnSxaZG
6RjWFzYrvLvM5lT0p8710L7wxyr/s52n+T6rTAqqHjiDqEkYIx1CuSGiTiceMeLyesrCkN7GiCfe
LerrkqYN0bwvPBk+Lp+s2OWsaJsp3rNst91zF7vzfcAUr3bG4vOAMwsIzVmB4OzCxW7WbuK5o7o4
5nRI8thi52W78nwgT2u+tEmeTQiNHLgKJfl8ATra0YjAS81z8cPVBTEQJnhRp4WlHlm9DeOJcONF
XvaWMtStnjHy7EsKANOHpaJo9SFzzKq4j8cclwGeGknrxbYPy7gWMRZd8SypYPEsZ3Oi7BGGCQ+C
prs6j8sAY7PDrEJmm8SLHZ0GcjEbvDgyL/mOvXH9KHqFwnAzT2jrmcwb6zEbDGyqtNtT73kug8G6
yWP0Sah2RdF88e1JXKdeQGczKCuuaRRJPhOsmKj8kxIK5f6GhMH+qx0HffFRMUMIIpLjxVU3TVXX
XsBhzojDnV8Sw7izChA0GywW+bGTPu+8L5W4zvvFnj8GQyyLb65fWxYVb81WdVeZo2XdVKw/i0T+
h/j+ENdWQDRp03imeUgtm4okzHK6iQb4O3yvC0LQLAmuaygVz+44xGt+44MPR3GKRNUMH3AuGzs0
ZOmWgdFF9pCkB7sMY0zJhC5tqgxAjbCFJmfbr9xz6szeip3LpZHRtKOYs3coN9Y5XU8d10wyzaFt
A/Np3TVHdmV+Migsb/oaFWehaxIP02kOzgk7Sz6XXex/mxOC3muh6hvCfS6HSUm9K0o135GUk3xy
7bHeVSxSW8659j0qg/qTcNJqb9UmxW32uu7G7H11GyYkTPptQXWMhObyKmuT8oOVd/4mNLt+vxg9
BcdxhudHJOOOLnt7M5ZLdelST90NSL7vmNbbT3k4pA+jU95OvjnnZ0oSvSU1CUkmB+2zMWuyh6Tz
yg/AUrtkr/oalxQL2LYs5HIsjbDYY7rPNqOc6lURTq2YVOHmkUWnfa7dqk23+dLV+yAzm4+p562P
loSkDYk6Qx15/jBft95sbxLqvgQE+t2fmfLVtkRteG6tLF0yqa1r0gp9Z5uabk3Gm2Y7sO2UNdL+
qZqzoJR6bevbzWGNUdwnrrjL46Y9M8GgbEl8ap9RNlPrxsTrHWrqf+NOV/5wLXsnfgjb1DszuqXY
uwaUJKIblgAGi+ddG2kvL5iw9TnwMX2YDBECEiqmne4U6YX4UCI56Bzheuc9jtm4fDXNMr8Ig3C5
ULUKy99oUN4U7tgSQZHlP6cqmk116+ctkWwqOyDdG9Vv31K8rdcm0mSzCDkGDSiceM1FzFd+/v6+
6I0q5HTVlbACi0IQ5PBWgMI5L/XTyQ2PEi3vCxZtJoa2t9hjvH+dN/qF03UQLEKkZre3yrx+vrsx
bbyhC5P46NCVY041FXP2agdx55gJ499fjIosslg2yChO3jxKwTdsJGwCj0FJj6xZZfsnQZSRDeHu
/Uv9upGlComjhL24CZvobQ1CJqHfEv1L5pmnxXW9ysFdAGT0HfrmovOp8//r6wlgyGtdxfRgV7xR
8Yig4bMtK/e4zGn89H0JqlOTFcOt1x5ul2ke7/vXXB/Xz5t1bm6FqQH44OW93azrKnH6UPXOEbMF
uysfC0TGtoTiHJ4kejg0Ifi3IqMa+bNJB23+14MU2YHLczbBxlmu+eamm9qR5lxiJxuGbI2OQlE+
i+l3rPxfPwWuAtcoBM7ugkt5M2rK2JrqOOu8Y4Jn4VxnuAT84LccsX+6CgfKgHwN6re/iIk8CgvS
NbiXk9TMy+hX4/z4PwwTF4Y4yBdOOxw33zyxQqJFIc/VPVoxPhboUwyKUUNe2aFhE9d9O4/Lb450
v85fzOnMYdwWVRMu+/MXXmdjrKfSc45GE3vPgvISYpCRrcgArXJXY7WxNl63METeH52/zixAotAI
EiQChPuXL4LsASpGLfG+xcDXHTfMk72HQnDJMTe9f6l/uEUGB1pO9uDA0d5Olj4oAS5VWRgzVitA
JZqLpUOPUTpru209wc3rqHn/ov90f/AhAyquLvozez3X/qD8GrGL2WnoiWPpodurKzRapRmkZxx0
fvuln9oGP3/qIdUJqHqOH/rBr1/aKvIwmU/QhnR4OXJRuRCHfbO8b8dFXTcQTGjVUgO9nSf2dSgN
dHc9Sizrexr2DoeLBnkE5r6vkBdtdp1LjdooKLz2d6j8Xyde/Jy2vwpEkWyKt9raOnOnDJ82I7yi
SRRlMe6ffDZYL0k5YKjlIdv699+E+PXbXWMO2FfSe0HY+1aEl5TUS2LWuKMRGOx158Dm/EAcIHZy
JVgy0zZex3ueiWs5lPIFB8witnYWzveys2RJXuiwyD27JCwiGDvTf704UJtHKo4w1+bdnRo3PwwV
UwIJGgO++moJ2HSbbv5JJEiDSLqpMyw15u/KOL+MTVTU69dAKYchCg3j57Eps27d9JOjPDox0b+Y
Z/ONljXDdF77ue8//n+6GHUj8oJIT/k1kBHtWAicnRj2GQD3bV6DO8EEzCnHNVtOSe9f7JdXzZ0F
AWU6ExwY09mbr64qDNF2samPHnnZHtvXnpHFh8gp8f0LWWuD+KdPDv0v6nBWBG4ORPv6S354aSU5
PrPX+hM7CJV2tyZnuCEygq6H4QwKt7to85FKiJPgH0wpuc+cSHxb0Txbl8FGzvdpVlAnMCYOS6gb
8LQuPoIZ0/AoZVH1svcmSUccz2XB4XiiP3zb17Alqn87EXtrDgi6ANY11O5vt0IZqeWtX3Xd0VoQ
zEy0ZS8w0WZnian/9a6LSzEGHHqflPR+aQFjabL6ccZZqPBP4NbLuX/w+eGOkB2aF/X82/rhunr9
8JYcljW04Sv4MBA4Lt6+pXqpiEBXrnP05Ox8IxJiPConDp9OBRHPJx50K5fS/dDMs/WbBcB6O0Sc
VZWOOt3myqvowqUM/eMQcUoUVQj78qMA8lMtcDkCD+q7xvNlWxEE3+AzHIHC2Y4N6pbrMEH7RQR7
kp1bvUY6RlCtvjeHiiriUqz1GkkeIQeLQfHnk0FPVV6XA/gQ2a3fa6Pmb5oy9zxEAIkupgjs5s7N
O0RN6/AqDRaDM90r0R5Hpdtug7FxvnWnmdJYF6NWuSgoHCEYk2OygirRvFy5plGorSmK6o7+W36t
vN44m53MuyVFyljOiPxGzTL2oHdMHyIM+di5SdK17w7hJnVUe9kXDuAcvwTGv21gsXKAXrIjlnoR
4bd1B9zwIpUAiQZJBii1b3OEwmQv+WojKQk2WyAOiFJ8nVRQUBQ3sN9HdN/WYij8k/R21DN/pq2G
eNZrKFGiUQzhMZNww6molgv/7yL9vzafYxFTeQnLdV8jW761tC5dWHB1B/OmEIni4K7VHBaHJDDm
+3ZeqvQWWWRJ5nYix/6uQ21YbdEv8nU3omqL+2ZBP7dVQy/kHs3FfF8Qo3aZeF5T3KN66r7OCE0W
Krw0m77ZXj04V0qKtRQ1ER29wVnOv8itu68udi8CanByIIawcudyXFkuVDRA7pCx1hfz3mvBH2yp
g1C56peUQnhQac/eoZbmbxzQ3SJBnez6IOd8MB7mJuPSslhYtUITnZLcpKXdWTf1NLr9vcjIqd8W
DJf0lvMqBnmhfQgr6JWdwziqzi9wn41GtLQ1DnXPYgp3l4QRVNcjBwnLnzL/0hljMR1SPOUx66pA
v9eokppWQNrecjaXnGE3yIOoMiKxmdWjqF1VYvN3GWCwccm8NjLF2nDaB1CzZ/Thl6fUkHrIDo5Y
6iBokBU8k6G76Gb+M+yX+BYaBjr6UwnOLQd+jJ3O4tHJLfc1i9M03nVDN+ENOX1W3qoRNldT6+SD
/HutiURRFOeJQhOzSJF9sCpK4K4ouSLluYwiGazm37R0ea5Wt9bM7bwbPuPGmMb9jBL79ntrhvDQ
19i1141E4rC3CxofWbvI10qsojxP25XjD+QKKvCn5c/3BoqMKbUr/9L16UdsCjOb8z3+P7O7QNjI
Z1q1Bp2GUjs8WAfepL3PQyvJ7rpa8kOESe1k35ZWR564kPOnYfZtA/aR7xbFfdCQf3TlzqV49PK8
duhbx5n+Fhh0MnYYZCznTouWKnCq2RuTByomv2I9pg2QNpuUcgVjxaGbgw7d6W3/IxvzokeDrnoo
LpsyG1tAUnGMMipiCnfzY6k6qvW6pCiJ7bxeAkoSyGuPlWnOlNqokPcBBbJlGPPp+4r/nz7pb/uk
LNk/7Fm2r/3rX7TW69fq23//11WG/pCl4Oc+6elf+rtPGv6B/C2klUOP1GLf9neT1P0DYzKN0LXR
+b/tUfMPJIMrrhOFKqTV1Sv8t0DEQyDCLpLYAciTbMCcf9MexT7586LNYk2cD8cmTtmUghBF/rxu
KqJA5SATejGuOcsNKlhv7DcOZX69aT1nfDGTyqd14jb3GbmQ1wsc5o0MaEFEdTjkO+Fn5kPeF4ve
KWsubtKgz/GiGdSGQ1+dzWFmH9F0iw1GEMBxbsCJAE5Y6OAWpuWFY8ZNL8Zyai7NJBT+prHKS5SZ
xa3f2MFZZYbpWezH/plTlE4fJZWB/xhqztmSpepQsG28GjodbxfsfQZ1bFZcWB6QbsByTp+QGehi
O1Ooj2wAS8j1rf4cklZ8T3ADStAMFv1hMD8XxdK8+kVJtm1hx/ZGzUG/4x+gETh6876IZ+9miueA
VdALCZRYEUGHVQp7XijL+DI1Sv7ptxmC+bwODhiR1LdktmIJWKYVt1naDisAQd07nTMd88I3WfaK
XANLza1vudmYUe7SOQFBYCMDpyF1nZh1ctG1i/Gl9vBKbZA4M3Evsj7oTD6P4SwxVq9NmjQYP6Rt
3z+EYQ9WBPiq+rx2v56VURQh0SaO3ngodwcSL0MOXkHN0ZgNzsYyM0WcTVj4Ebst9SpZ2YfIcqaP
UMYtHnJdfi6zvj8Pl6zfC7J2vizmUF5mproxlsQ9Fqpvj4pU9wswoNDPXb/b+yA+ra3yMo2XQA+W
4n0mxXOYhbjDeUoDfxuU/L3V2eWFFn6M0aryuNE5zOHDx8OlyFwDEJmZnqEHLh+pa6Ufiz5Lye6p
WyKGNVTSHczYXGw52ZotDLQ1ojRj7B2kcoarwSE5GKiKaeP+EvSl02UtxSXa7KKpq9NtudgYTugF
Tn9muTWoqJ3Xo19dsny2eVrfZnTxNo7U/mWimmULpgcJugqqqxb31aVFaJCOimqCCULqhK83btMm
T5i5LA8zR+J8lvPkADWgQXKGYIp/iubUyuBnpaVbnmwh8IhrehjhXRLrNJoIiIY+B8VDj1tPuddZ
GY5fwA4VB/CsNKtzw0i3YzeA+azT+WJZeq9jherrD2GTx89APRPjGEtL5ruw9sVXOZndsEnBVd6P
4DDi3agL8dKHZVxHUHCGOzHU8pNiUxaF7SReC2UDpxp1r+87eiLBOQArkpRUEJIuZukOSJo9O5u4
Bx+yGWJho/gy0YHRGf8Mq41YG8EClkS+WoihTOrgUw4k+qpwZ20e2NyFj8tYNEakcz9ewTflWG7b
pGuAXdbVK1uQ8IPKkPqbU7v1WmXjavL0N7dVGpOuEE29i4O4fs6ToRNRqWDp8rJq9dL7hK9sAOG1
RMc3PSjWcag2PSGflyuXcdv26o6SQ+gQUc33jKuJ2LJAObuA/TEifx8N/bhmPzpttnXScMCG0wNU
aIR/dM2O7rOd5gHPwcnPmmFgRlO29iNwmObZCBzo3sIvcdZkZjFvjbCPHSTXynyxSArZLQ6T6YhF
C+5lXWX5GZ6k8pBooKOFE7MPB9ne36sgc3iwfpV/xIQjoYmK3ibtd4mHQ5yA8EMgN7WfRl/T7nA4
8J7jRkjwuZi6u3E6ZXxpXB8PUSfy8VZLbTC5LBgbGiMPcRY5zkhoYSo/4Y2YvskynV60U4sru8uw
9KBDD/TGdrWKozC25U2qw7jYwnWpcJRNZF1hXLMiYbYPSdG1Wyip04XyFMEZNL62Xu0fHdR5OHhq
wvwA823HJIsPecG02QhHns1m9ZjU7nDWqYmDDjWSEdkEvS36p7qOwn70dhStl68Lvc1qNwpIm409
YKBs0hHlghnkN7OJn2m4IJzYIxnNUVObfQSgRlKM9p26MJ8DXXiFtUmVLfoeQofu8pt4jg1Mmbl3
I3J6y4so1b0HF/getWRyy7Q4U7UulsOYTE+uU9f3kjrH/SC62NqYWR4/TVTx4f6hzdvUfj0dV/bj
U4DlikmK8Ib7ACn+rYkr7hb1jtzD6gNmkxUOx8qqi5oRfnPuqoRpm9UumiudXQ9WOOxl4MscbWFV
Xeehyc/1CrKdujLlwXBi5FMPSSQWqvMukS54NwswoSvXrWNa3ksfPziB8g55VkyPiJnZn6djnH6z
F0Pf4KwbqrPekA2HQh1fh1AXHxbG+CHhxr+0mcRvopV7hhoK6lYsl08FMSf4ZqSxnCei1Pvc0RYg
sn7YyR6qbNG7zEdDJpYLUhj8Q5oRGllN+S2KZNrN0rJv4qbsHCbZAvDLEh8aL7eusNUmDagoZ/Xc
DM1tgqLgbH2ej6qZxSUYI3XOdOGfQeEwbgr4y/bOsib3rgyX9GvcI7zIZgPNupIzIizX7AF6Lr6+
swo1nYU6DA+jGLonFTdAyYQ7nvM9eXpDKUVt7NYPK14RGB/OLtrc9jmAomiwQ3k32WaVQby0QQ8T
3QBwMoO1JEvnhvDw+Grxw/nQsTByhCC/AErPF7PJwi+is61m43aufAZVnX4yp7gATmy0Z1S6DFA+
I1MNwy9lkXZK243gBPv7bMyLW9DT06fW96dtQTDXi9VkwY2la768dJ00aYFZ2dlCpPeyU8qymoda
h8/oTej5jynRa/R25SAisw6sNKJ5Hb5kRlw8UPbp5K2nuqw7t33UMpvF8wqQmrmQ5qXlQSA6a0NR
mxJREHCTiIWfJ99QcnpQMtmSagyuzE49f9+Gnh+lCBTiKE+mu0VYTX7Rq7KrQDcZ6bPb2m72anl8
4hHSEtPdqQmCD6oS+OOLdyXEPI/9WZNgZB2ODFlLFUd/rBFgvcp4eWHbO38sCqP+ko+z9RT2g/8o
ZNIeEe88ytrXO6gy1cGXHTGlA8Yjv5nvvXJ5YQL8E2bPa957L/4wDZ9p8rKDcOAhbzp3ePFJAjz3
/KC8BZi+m5zKuOTlcAiGWXGoKUX8aS/uWG/6VhbFBktWQE9+yHB8NLq/s92p0BE0n1RuWhUmyWPg
DWpXkZB4ly7sd+CfTW5lfC/+/ef09LvTE+wWpJ//f5Xp9bfP6rUrfhbWf/+X/jo9he4f+Ibgu/wg
Jf3rACVMNPe0V0xCet2Qxsz/O0XZHJWoTAdYsNZOzY8iU/PfnJoIXXtzagoc8AMCnT9bdfp4bzMq
SnswmGXT8dImAmhMOTbwAUOLtolv0PUlgi9Ht9WBfl/6LT1N1aBvp0d3nb+7dSYvq4BJvebnX6l1
prfWOX8+Tf/9uhJYp0XBspWxp4I3PDvrmqFOy8e4riRhH2TX1rq6FKeFhmqjtWtpKEUucrrrfl2R
KOLIvTkGFUueWd/268oVnhYxJI7Fk9LTBIV8XeTmdb0zQZvjhkoNanVUNe5LsozvldU/eetaCUqU
VXNdPz04lCu0T92vKp69va6zSwyx1Jjs/li04QL/3i4isATzzkkdAJVZIcvHIcvnV9+vJJ7bJk42
zkJVBz9Ud0s7Mf0owbTryGxITbaT0dqHqY9kyZXpvTt7+W40HfwEhlnPl4pi6WUguw+o1amUCEQb
irIoZV78o8tj3Q9FZIr5czGTZrGxx6Kj0D9mlzKrOZrWrdt9Qmw6gdLmHX4oi7y6DqYx3Rt9uhxV
tRbQUgKUtuUY+GsRCQNtDpXm1gq7/Nwok5upyPO9jxthu6RuHnW0e8/NqZku57QeLgEq4ikSFaqv
Hj3bg15X3IJ9cNSzU7kJcJmfa0vWV740p0unq/U5mFb7NXfs5piHon/AOlXOEf2VgrSHtkeqn1rB
AfL2cEUBytxL4RtbxC/1HUZx+6HXTv9C37f8U1ud+WiNQ7b1irm+qTrXuLZBnCcso888K3ajcq7D
W9kF1bOtsnEvgrbe1r1l7qa6oPNhusbOsNXMIaLrbkTfUgTGphDhRcWYnjNwUIMaYfhlJdKqSCrB
tGwsNjpGkvuKnePV6V3djSY1gFD2tNIriOtmM+4DGm8bNuOvozUGFycVCDLC9tpRIomG2qxQuS7I
GLuEbBIBGmU3knF82RLKSqJsG5ybWCS/5XWS35otFeysSJabws3bFtdubHwJqBdUmzjpBAzPiYST
DRWX4aLOPJ/5K02PWQH8Ejlivl3raM+ZqMyPas7nSy8szF3qdMNV5rcc/ZpWjnfgIZcXEK6kshll
O18AzUseAfq5N4F0OBO0ydk4+hwWEZpxEEitXeHaPX7WkQA4xmTtcy6UlBtTtJ5br+t9ogmn2qDo
EHjxwc7z+EAMqzq4OodpHUhBamE8w0TdeCqunphG2ltdl9BfE2nuONm4u8xozSs/FfW0onVZMjnX
7FSq5U2VVMmNSh0LUrhnfyo5QtIpMBSOjzjF6TsHg35gl2AnEZ5ZA5CCSM9dL66Ow8LiTnIdJuRo
JAhj3JNqYSJ/RE0QGfhNqmujCJInX9QSGIfXxKCDpSQqpc7aZbtUzdcSKkywGbxqvrIXv9K8GjeD
wo0Z5SkZOwyqOYqSOCqNZKbTK3J2nTk0g/3MJgLndNDOd3huxEfVxfUQJa2lWrkvPeD185WgcIUD
BK91NaBsU9jbqxAoufaoxgBX6swHQmYs7X1I/Krt7/u10HOOK4ev/bi0VmcsUR/k1dxundEqpgeV
z0nwBbJznNagUkpzcj9UlErJDAtaVCd7Yxj6/Kv221YUsEqEUixcLG7/2Qf8Zh9gr/it9/YBH1+7
NKsT7I0/1lH/+tf+2glQFf0DcMwq84BAjgaUgubfOwHL+QO6F3zyH3OrHAqvJs5bRBv/S4j722ri
/gHcRtgoY9D10aIX/2ZX8HPvHUQaNVzcnjSo6TtRU31TSV0wyw5krnh31Viic6+zebhjK917CI1l
9+mHB3P7vav6oznk517r6WIhaWxse4jj4nbXDcoPHfHEnR3Qw71zlyIyfTlpmHU/hk9F1tOK9yg8
vCToNF7DVUX9f7g0pxgs3avO55cetlGIGcy1c7fQGHypQ4Xa+7tuyh9WhkywStc7U62ddixyv8um
/VnUst45kDiL2jcqUl7c28tbdgaoHKnrXVnBYqdAsrp6zJ4MgWPWrJebKyi279/ym+7yXxdlqGBJ
gioJAv/nx123eLaTNrTuXLT2jzXQn4NVeehUEN+ETy0s8kvn5HcYoKx2Z2k/9F+9tsvOSoOgmUh6
uPJbfxWNgzbhfAfg3Hllmae8F7ujKS4gq6ymhxUStOlaQYNnLms0O+/fx8/F/u+3gRsaXR1p8BhV
32hRgimwaV6lFhVAg7EylJidyoFGZ9DRzSsz3VwA9um+vn9V9vo/6AL+uiq9D85jfBj8988PzzNM
9kquQpIsRlKCjBVp4tfpn9gpJM2xZb53Hfw3rg8leaPBqfxGHPDrh4nG9aRFMkPGzdtvZQzDupDF
LO48g35xtn4wOsSIlIxSXL9/q+JnpcrpXkm15sta00j9X6SLxHL0tWkO4s5ZFU1Gm9JYHDNBPzS2
bZrThcMGyKQTnphYZSI0LXwsRg4B/ITqev/X/NONA3BktgSBSXfnzai1HHz+ILzMu6GXfCSOH9NY
t3oMBZtslQa9f7V/+kh8pj2+S/7ju2/lZqLNzcywR+tOdT00VQ0XlgQFxCaDj5OkgjZysEdQWxz+
GeXEwojrik5GQmEY791G5AswhNXolUjIOLtTY59o9PC7DwsQFR3iGoRPtnGDep5IuaQf8Rup0Rt1
3+kF+nTX8MHBhuDU+OYTycsEiK0OxR08NI5PJ5nQadzMfdW+nNBDZTAx72keYBWgnU4gPhORp0N5
3mpSo9j+OOjYFow3aitis/saKAx87z/sf5gFQZuCfERng1/vrdzXmK1h9AiAuHPRpmSb02OG+E+s
nRmLR7kaSt6/4Nqi/OkrXpNloetBBEViA+b0zYOp+sTKzUJ3dyeT1klBEcMvfI1J9cEmbK4YbttD
GRBnMa1vQk2QQU74eR4ycl9Iaq01BpkGGUFORt3ZSXpFTZiJcx0Tp0fUsWp4IGyAb3WjD5NN2MHl
SR3BCY+WiUYu9f5dcQdvb4s74T3jKXAsFExvGZoLVW220Tq5a1iU6YfoRW1zjI830i51f14T2TFF
uT/iY7dco/QiTBpxyuk0yVbqElI8eNdtGFm5hXW+6v09IT9Qh1Ovo3ZH1o+2cWK5MYokewmx/aST
8aE1qqQnzwsA1WZKaIGSPOejDUGuyJeRd9OwYwnwaCLlJCM5nNHuhrpPL4KuogFVBc31mEO82qIh
MQfqlaXxLEhOuBGNLr8Q1YM1hX0APBW9LC2/b0y/arfRZI1ofCNZz/oNRNCt7A0pLu0tnZwGXyAK
WnTqTWduoXJTXR5932if6APma1ih79NilOka1ZUU3kZZoxw3lZsoePleqFXk9VbwGUusgj9XIc3D
8L301BKos6mDJXVmHGIUvJdWMiAJbcnIId8gfNAT9dzI53Sv7qggCIfjXF+7EWrQIo0qYsJa0NxV
qaKZpnG8DfIpfALmw7JbMEZ8vfrPyMALyaFJaT2cmI4+7lJ+XePijuPQlkV1wGzDFpCJeMRsc//d
A6DJ8Em3MXQiErHi0qH8nZf+JSDuYmBlFinHY8qnoGraIy7cXF8RPyUvjTkMxD7RDTGlmzabg4OT
ZOn1WIT9lwDSW7NJrNQ8o5WgthjgkmtlOWqvwgxaAA6SiWyEZxpT2ZGT8LwN2Ad8xr7ZYJmU3Rli
gXhvLXbzqQo797mxDcjxXpt+ZaDM35IhzvvNkib11hx4PbSi+/pMJS1ZVsIfMRgklUnqZFzPMwBu
w9BIZPqvmAO8aOYI2z4abpAVF2MddIWDsKgMq0cfS78ZMgAAsvnbygcrSwSERnNHScvh6LaWtoQ1
WW4bEXFgiHSDrlh7FT0hEbbPBpR9m59b5DWALKmrYG+Y6+ZnwVjYFAUviBS35sJMkA8y2xvOqwyQ
Bu06sIB6U8Fj+DBjQIKQtyrvK60RyY1+yLxCeiPa/JPRNA0Ei6nDwRFJmvARbqqON+sRGlVuspwG
o2niAprCieFVn4yRayAircXkbvCDpY8W7a3qISLdk8xE59+XAbNRNbmvePXCp8lCk90tOGG8AV28
QUvw0neqcFepVBIwxRcaRNAe+Ou1dE8WPhdwjb96ZVc1PWGRzQVkBetRmu76DxFQcdkj6KLtMPox
sSVkoyRbIXr+l2SZVx12xsYHKxD/A3GJCGcDl4ejLFbqTY+diy5sKvJr+rVMMbjsUbqRtnQZrnVy
UrhZ1DP8bbenOZI9HDmeLouoT2/lPG4CGDHh+ihDheO66wb+ePq11TAgQraJLrxdE9ssDJqZvpWn
vUiBPUHdkH6I4TMZxfWw8EZGEEUXGjbQ4ygWIJOrVnLIOG7YZU6IxWoJpcyBZk2vu0eqUO4rwDNu
ik+SKxXp2H3FaQFOc/3Tdz1kkrP7NIvRfT05kACYkPJVIsqVYSJf8gLJejRnnb4/bRSWQtaomvPS
e6XqSahSV/JqJT9mtoL8KyHTa3obSQCHRhrmtbm65alVmNedKhEyMox4d9b6a+tGYuLqkH+efK9o
/tiEN6sw1hVF+0JvltWcoA3E6/HKTP3uxxgbiGYH2SmUnH/pBJsJ+6s08E5Hpw3OsG5ViiXvv34/
/Njr1kfnIQpCRI9OGZH4KGH9tR6axMnVSJUr13lNESqXZyw7/MDWmpGBrFCUfNdWIv5cGika0fr0
CYnYRUw5zmrdBrHy9Fs13QXO1H0tw4531EIVtWjqfg2T1VBPqgVzG0Ux+1CkON2FFmwMVi2wx5u+
xljpH7id5oIQQO8+0wNhlkZKluaW+uHqIGLF7dfh6daluDaTVT9cOMOqahvZrjoBtuQrhKFGel6l
MWdA4VGS3OAKhleEbJwfA++/2/ROwTPrwUE8zWPmE7ESyHLXSxNOmRUyRkpUf69pNbErnVsyjb5P
AgUhVfcYjHgqZQHtzKOsfZDEtV203np54JOk8a1ffdkLbA2iwTn+P+ydyZLcRpZFf6V/ADRMjmEL
IMacRya5gSXJJObJHfPX90FIqpJU1qXWXhtJJjIzIyPg7s/fu/fcTX1Iud8du9jiU81MaJElBznv
A8FIV7Ss4teLZ59gHuddbv6zQi+xrP9i1E5Ad15LSVAzUhyeRHvO0eli2d6eDWr0nSFLNh9QCIm6
92fMUCev2T6gHIRwsTebuDtWEpgqiaEzGbJcR9VudXqKItMbqIHMKameEO2Kd/p/xrOpbW594t44
mmbPeJ5o99PpMpGtoLPI/TJYMr/9QlgCC70zphnDK7/hhQeBIZUdSDZYly4XXvIYELXj2X0eE66o
NBkLPZi40j5v9vJnPOl8LHSLUXF6E5/TpWK8HJvLSuefnBLkmpaX8ruvooUuZ3pakA9mhdZ24Caz
kQ5kO85+lE9GuUZyezmX3Jkiw9cAqpX1WqfAqUrgxY/6upAU4VqrtR8UMVBMUBO2o6xgcZk43dHt
KCksYEEmHc8ahRUS/Rhp7TS6HcYygZ1c+OBzH2c5bdlDk42iU0PD8U7gKk8Nfxt4FvKA5xKj7Kno
mi0QySdP7FzRKK525ZCa3ZOhmxOPSFzwRjOkMG6z/LL3zejhmVsabPKUIsl2JbcJYkOwxTNxeQN+
2Yu2i/uYm+wL28Yqk83Df3l2kWdwrF18qLObLd9QfccPl+cTUWt8yGkEHMa6s4sbd/B4RDx94IES
xXhOE8Imfn0gqqnyfrbuWIxhJUd51IiH2ZUL4JEEB97z5an4xVVfmLFx69hYp4wO+VAuNrpCobSs
CZ26Nhh1ipqdaFmh8aINpwkhRY50Pdt+IY284TbIJHRPaU/82UIhhCLXMAEV22hLeOSMZ4ECeIqM
MmFluaAqH03cjtYeGep8P+QNuz3N2zvhMiXlps5D/YsPo59YKpcd0EY0XUUNepYq7GNtO74RAyaB
5U4sm+0AQq6TWMsUtjCoVQBmCH0WaYiQB+DN8mrzoWeZWd3Cz2VaMT9Wi82VoOWq9urPC4UfzARE
SMvo8XSbdq9FuS1nI5DUQusTmW/gC/phrNM7QyGsO9Vso7fyYgMTHpNxTv6Gp103iDd47sVAEZJo
hf+K9miL0pq339f1p3t7MN2nwZurO9wG31Mt1sLCz9VRlGBQXEQOV6Q95z8TeFaBS5xkYMFzZubV
WCzgmeMxz1pOpCWbaD/T8vSpUBbnFdEf73PWsss1YloJtB5yvCc4/8jf6xqEBChhTlnb5jcWHCcj
5NRkPm6Z87E22noJy5awxJhcm5/+XFIvXETiBKvyhEll9h7cBdXr527b/M95nNCIBOFMTTXYKKTM
sibmqwE9UtNlw7xdxpP2RDo3H48kFpNOlW/wJsFmBXyi61MAQJUNR17MIyM1TrWVdF3qobtPSPgr
504LBwjVV5eL8gUZMVk+S9VPNyDvhSdM8irNJrOhPrDjiVc6Xw6TOGXfXkXWFB8NNSani98yKtjO
cENDhIPoiyfocjFM9KRuz8AyW7a8nj2tgekaX9FPk0eA1mQ/bnDYqYW7ncxA9Qyt37DQWGwcq7A3
2RWf6zb5nPdy04cPVcJudaGPjBuJ+LJv+nnB5og4wtpd/FlmudWbbUz6VoVQq4rilvbVhFrsS1GC
RGxQfL3LjiXUlzw8WawV+DrF3km2nXldUSyE3O3SI0GG2Yc9OujNQVqz4noNP4QoyCy7UNkdmMJX
g8bJXAHzsk/AsnT3xIVt7o+K+03gDYM8NL0a9uUGjeOu0ot3FO7Gs+fhr+Q3Zleiz8Nb4uZgLpCL
m9wkKoeDxRkX5zmlYx1dbBnMt1gP6xas9kvJLPTqp5OYMxyNutIJKatcb+csvbnnJ6fPqRzml3nD
Vqf2kr20Q0LUFyuE3ZnbDvneYNBdxkIVYsLFbrV7qTnQiimna29nkc11NBOhfR9aS/wAs7B+lFSV
Pxvo0JTbU5kE1FXmFT4yHeWnag5ky05vOM4cGQ1xXDKj7eq825Em1p2FNWe3jOiIkM2d7DPTnuTJ
UcUIhqiCTl0ooR8WTyy3vtXGL/Chi+9Nt/CdRK1nikq59pP7tda4sZY6UGoA9rpE1OePzpdLW+Gf
Cc9fTHhMhoL0nP+b0mP6n/OHVB/L7yc8v37ZrxMe1/rk66ZDhoNt/abo+HXC4zKwQeOBy15HePGH
KY/xydpYhx79ZViftMb+rZj3SA/a8jz4E5qhpGz9nSkP2WF/6BihQNG3JElGPZ7H1Mj4c4fQ7Kj4
rUHII9HVGTWPtBhzU5cVV5CoiDPQZTc+JULF50bP0uE0ZnX/kLZkYR+K3ABYIomnJr6z8KFNxQMg
3oGn0GxphFKH2NmDPyr94BY1RBC/IxoAORzIeSO1IiTn8fNs1uLNqcf3Eh1ywrd6HrtYPPVFsz4o
6T+jRgbbVbeFzeIqY4IxDSQY0iJAcKAgrEnh8IxH5YA/7dtef/PB0UAL0jLzsa6n4qzk2O8achJC
LJcqmBxX29nCnW/hEavI0AzjMSajYFeB+fmpTNnoAAMtNsSxWuUpGcESBvZctO/WCKBpnZRPugEJ
15c36uIAl276jc8/w/mk+OrJGBmDF3L1Dkz2/CbMq+G0FrkdutbAFyoxISo3mUsTQFT5lf95zNcu
CevS09/cql9vnHb0Q2GSGVmhJyWzSMkTESv8dMPjtl/nxNyprPfBLyEwZSTvSxGgaCfeb1LWepS5
N2w2s0T7MgyWeMLDAGoQ2rZxLT3l64dJGOXrUpQuqRzJYLxJWiSUX7POdyurdL7zqJ9/rulEF8Xq
4jMRxukPrVTzbcuM4HB5fWp7VTzZcgly/nkyS0q24BLc6TqoTPe6HOoDCtYRcDiRkkDmtZ3yln4H
GW1IA7fPzOvEQxydBkNPjOo1PiuOl7g0ivWIwkBa+1RQoB6ouhtY5gzf6Ls0xXm1m9MobZpxfT4O
+z5LzLdWA2G6N9rF0w88KltWY8Wz4LXFOR+UivjpWegrJTJUzUI8ge4qXyX0sacUYfZb16bq2qst
/znHTr1PLVM6EUN364zgN7mKO2T7+dJiYIJ9dqW1fNiek9M3RFaaUSbxS+YrWhOxmqo+wLWwg0J0
/YRqZBuY5i0awHpaDuQN+xwKpvVzciy8crGsqgZ+DmiPiIZ0Vuz9XO/T26Js+F5cGNq900CYNkMb
LClizlE2LnRzFMyPMTnVBE1PRWhBeovWXo9vKgccIFDAyTsYvW9wnqXWK8jd4lB5OOQQOqZQbOY+
q7xDYejqqW/sN+KHh+tK6J9Bby5w1RlMpJSuqwZjCAoR/SyaTcpwnD3xuTFzF7MNB72oz0ns2WC9
Bk/eQbFs7pWzQujXLGc/LUt1LzLbOA+MN2m2dcmuAtB3XMkr3NGHWM+p3RUUSeZkhVMprJcZ/1Ag
qsUj50CScjnh3whsyDFhbUKawPAYF/saD/DObPot/Q5afzhMSjt0raVuBoRbdwjIiitEKeK+F4mJ
7HTsLzF5dJVpuZIr4Gm+fV3i1xuiadbdt5EJ601sGMn3Reb5R93DnFv46NfWJ7ISh+4EEKEh0mDJ
MV+GOl/zvoIKJEEmB0p9JGOxe+p8ndhw+r7pbkhHiwCXol5fZrHoCFM6GqkW2cWr3jZg1MRyMDuX
LAaLqOc+oNOpa7salh4ZlWVPFjbsoR28PEEeJhuFAUpj0qPRcZarKQbKmgLD+uzz+1tY+0CQnsgd
d1XkrIk8c8dOQ/qYmylw8oo+qDanYqDTsg5h/jRUCHUrQ2qc9Blevo6wrZRFaMoqvxq52RA0KrfQ
jNx0CNBg3htSS8yHlGoV+n4FPlvvdjJbTCxBnXvbEO3zXBQlm/9gEgjrT3Nu8SPKniazt8p7PLfI
Z2vKbOI41wd0t+xKyhniL5edpSv6mLK/Ks5lwwqFhGhgHNpWUcuY/mlG5/4quVBGjoalCPdBM7Jr
LJwwsnHqw0xo6RZwYdosh8l8RDvND+pTOUe1iS4a1CPZoZMOBi9gSOHXt5z2Cw20olmiplmB7Q31
ekPwqfhlCvNPufTX5dI2k/3v5dLNx5x9b/5ULm1f9psgRt9krrbDFXjDPiA/+bcgRkf7IgCsIln8
Bc76L22s5fJF1Da+ByfpT/USpRTKM+S0m77kImT5GwBW8SdKhA7u3kakhdAGAS4s2D/NDclOLjGF
1/m1NIdsebcbm9js2nZ7e6enPjV5wBVzypdjRru70k6NmbZCblEN9RGDvX5ATL78kBb+hlDTWxFy
ux7Xq5kEi49Olm6EwM+Ra3es+wTHPydMOS32k4bc0Bsg+gymSUZQSYA1K3tJGFzTpF3z1L9jWt27
D2MzjIbFEupluzxZlxQ2Zxp7/QsOWyQRwQqQEZty2uh1dc4w5ITka+AvGStBt4VGvijm9BqNfNd6
T6npEqych1g32bOMyu5h8+V0IdSz8qhgdx4yz1L/nHVuTz5u3Y6eSd6GXtX6FUD8Ag+S3tFvUHLv
du1yL7iyY0RappwvdRZt/drWupvd/HNfqfusX/5yATqbSuG/LMBG9un/RO9F0/9RnU5qAV/46xL0
nU8QJxiQI9NlSG5uPPffNGmbOt12Ntax8Fz+xer8jYG8CdMYcfLHzHW5UzCa/rcwDWmTzvLUgaaZ
XHX+zpUFLtEfrixIMiDyINWiX8dKRA/yJyGITVmn6JiY1yuY5mQ9ZCpZ+jhqTNK5F3Wj9SAQ2gpe
eTB6Iu8Cz7bWL5pZOkZoZsZR4UG/hmE+0BjRKgafXYNTY1U3TVIfcV4NZ1Im3MgufeeqGWrtCcAD
6Td1ol31mWcErV05TyMyz5fcw7YYDA3NV6PtGiK88y50FLx2vp+xN5GG1IE/xhb2IBSjvO45SEVy
LLKU0Wslz1RCnE5d/DCt3d2sGlrMhh7Y2GyPnaLcZJgKEbJ0zoYdR/FQ+FGadD8GYUzRkHNAV6PM
Q4kW4SaWCfbeHo76qLPgOMHBRGu7mMb8ftHX9YB8l7llYh4gv9efidjOd6rd6sbS3pWzvJPFYu+A
f/TM63prX7oVAxxci0ercvj5laEC3ik76mvPJ910yB7dJG0Y0xrrsS1MLiPNEgdT244EN+V3cvF1
ht7FukO6ShmDd4bIq9bagXy0oiRjDDwhgQ1GTFfnInNvUsMnRsSqHn29IjkCj7RfEcRjg1ePS5NO
K7mqVMGJHpmxftCy3AhFuryKfqRu6bdfoi36qB/o0xMqk4RSaM4O9um3SvmRNc/Vua2N7KqlgAlp
QO6a1d1DiG73AhtyhAdbCzLhukEnnKMf+2gL8DF7hUlnaY2118XKmsDSB7FTTesFCM/mvWknPkDO
ajmZ1IjPODcxFhjeGGGSwkY3GwJnsLZEatbtqGbeidKHHKjBwcJJiM3OJymwnVv7ip7xCWoLrAhh
ddGg5BRYZXJILZpRfofPvETkXOTdc6OcV29er3NzcoNkdOy9Vmf6ztDX9OC21fsK/4mAcPuQN7HE
fzfVO93PtXNn+h/2uoUWjb6ItmENl7nAmXgkPJk8YLwlFS+hAjQZXof0QsPRM5A7qVIPjF6cOjM3
vi6EYYWFVFezVnxbF3vezanX7nJawUdRk5u2rjXhXCXPAtaELnKTFgzHag/YJpaZfDT+X2HIN031
1RYPGWO6VGOoILuQu8Yn2Fi+vXe4cO9jK3+RppPc1DqcVMv7toWYQYGiBy1aR3sGC4IzkaujHbll
lj1WY4FMQ3GDQHe2HPCuy2e8FV4Ek714XF3PjpRab7hUlnsPS+eOq6azXwsKUkFzZlfPeKh7U9Nx
S8uVzIii2iFpSDGcF2aU9hZoWDd3ToaJuzRLvPFomsmpF6N5pTR9iDRO+RdAK7yLXmxFJniO0EnI
ThNT1QW6aFBUiVx/wWOvB71mOKzcbt2SJd2QNiIN/7WonwrNWu7jdtDPRq8mgRDFSYE4aUW6c1oP
7nRfOeFQkn9gES+856UO1y6h7vxF7ZpkmPLQFFBO7eJbNjopXg+vPI0devnBG7XIXXk/21WR48lc
FAOr/nOOUwB2ANzOm+EmyJ3+Sfey01CPztnD6bg51B6dmI7lpFvNLsWnH6wQ/yLbxiVodv53Ig0Z
ts73sTHcl4h6uD1kxgFxzEdlr8u+lJBTe/c6m/j7yq0Pk8NcltznmjArTTIlwom7xKMiBtPyAmz5
7x0Be0HirU+qYUzALCkJyoICZfKGPkQPuTDdbDDl1x2PVOLIm8V090NlvvudRf5DRuU/4hR5is00
CSuXwLxFC3SWGuih7mNEoxG4K5ZSIXProJeGcY69EhB0ieCp2MhGS18QV+FX3jG19LumNL86jrrO
Ezs/KTG/ehM8XjcjeAfIswNuIauffX/8DNyesWPrfmA2nsIxzvpwSspn0xiuXLuXt61nouiVRD4g
zbopcWvXurwvU9LvYiv1wrjrfko56FHm21ii16E52DbWlxhHxa6b+vJ6AUZ4sGembcKK/WNJzJuy
0q/+4vnPi70cm7I2rlYnH/ajuXT73ivHaPb4ifW6PhOIkd2rwrnODQ6hWYtnLok+69lIyr0cBAji
Sjy1ROxG6DCyq6VTJ4BGXEuJ+QuSfsDBnHK8ELHifCmL+W2Kh+HoLu4P8ozHIE3KdD8wrz/M9azt
kzoWoYscEiDyeK8nLp1v5H+88Omm7VQc9oImQgW4ApUk6SzZnowvWm6OXZ6MVPs8+G0edNr8w8pa
2DnlMJw8aITsNZnEhBM7R/bf7JyO9nRINHY5qAMCVg2WGY/uyiFbLbFP3Mnam0AoQoYcxiFx88/T
mInTqnnPS6+uVNHJoNWSn5bWumdmSfFec8s1sFvH2EP58naGXelnr2W80dic5Cu76h7LeBNN3oJJ
6FvpqLp/sbM+VlTOngaK6jiDz7fbEGOy10yvPTmrLkuxA7YFsIynr/Lu4Mv5E+6T1Cy2RdbklVDW
scNRO3JHb+mDvVjDVFvIlJYFIUWyE4rhO26vbm0ngNYwCcWjZdNRkWDQ53olQBAtqktaXENymaBF
WEJnggbeylXKf8prOjv/j/IaFC7Xvf+7vL5Lsz/ebH/5gl/Lak//hOKe7DgOFEzNgir4t7Lasz95
SPENAraIczcul97fymrjk4/4mGARg+Ajbpy/Y+d4nzbHpkH5ajIsMOBH/42b7X+ErJHkZjBvEC4y
VAPRwnbz/Z0Hg9FpMqa1EKdx1ts4MvO1eCQ7NT5jGB1DaxE0nui676mg1j1yiRjWco9sTenzi6i9
9ovt5OqzbtXqczJzW/zdO/mXDhF8MUTxcrsQvEATMN7GL/r9q/NpMgIK8+1TPtrNu0gRe6HzrK9r
MdO67gjVOQCyoJpoGyYF//1nY7L9w41jA+pi2zHoSjjcaxzb2mS3v39vUrYRZ8g6MBbxW4Uch87j
kPk3hU8vCsqHcK9NHaICb5PjXs22n70Yucy+zmu9/nAH1Y1Ri4TknJSEURWEThyA5A/FTnaN84A6
FSfjPLjixDy5vzZai3Q0vbWDVRKtl5NWvPHuVHWXmgs5nK7BNkHSMYCNiW5INAwrLjVvSLUusHqH
mppk6C8J0s2gUXkaoBVDRKdsfPlNOTzSYaz3DeQMUjN6yyOTpPP9FGYGuc0WYQWfNSm1HaLR52Fe
JTqvteMMdp22vpU2QnYt1aaRHpw1HhetisMCv2SQr/1Ab8GdRlJYY4oPrALIXc15eavzjd+lKd+4
JvCFok8u/WdEOwxjMp3uZqATJDIypPecI/3bZT+lpQNpiYY96ZqTCnBhdI/+oOUPqDAzI8pxEH4p
G2bATe3qMvLS2d9NAwbQ/WjNQEAyltIjiMSEVnLXOSU9j7R/NoYm3dW9Ow0nFP9lQpuw7h/nbKDM
M6yJ+PPMMfR9Bf/BC+q4LygnhNMajIuS1bqqZ4mAIEkykwxW6CpBLlebjxX555E60CSu03bQPwvx
5uaLB5DBqe+LWs7wNBCwIErEDmJLEA5BopMqTmAJItqeXvVSmtphNb3kR5ea4x6gG37ocUS2DJ+e
FLTqcTWXkfFWM+RnMqPzyBO9i9Kub49rpa87v2x7REbQffa92ScroRg4CEOO/JlCntvrgQmQcRVr
3nxG6hu/wmkajt6UcgiBfUs/bNRqqK2NWeCkcKsPBoVFQwYBPMNOZHUV+EbSZQGNKkHyoCudPGLt
PaWJllu3yOEHgWs1JgTriWCVbG4RlxK9HcZWzFwrn+PagOfXFz/qPI0zfMQyP5h6M/2Al1EZwYig
j9YulMBRv1GdL7P3MStL8Hv1aJt3Ssn4vA7rBkG28vHNmTNkWYswm/dVs/ohjHG/SFYFOdPfMTbl
ZST9vktRcHNq7/pB1tquib3lZlwMNCdKd3tjN4wYd54Wq1mWIxMPWmJaXCPmaGqJqFUOCLW/2v5E
lw3eA4Mt5j7otpKp0I8M61KOgr6+limRHVFHbfyOigChh1xKHvUZpc4C9P4RH8u2Gab8/sWa1Xf5
Ori3BDZ3/hZgfxG58LstKfNOyFPGtOuYs1ILj7b63GdOjjOXwCZtx8VnPSIaWI8ABNsvKD2bLxPG
eVhGYmzHKJ1YyDsFwkULoCQO3/ScSvIGbYjQb/142pSyZtu8S1Vy/Wu1km79tpXTBeB9stHF7fr8
MgLU+vF2zsz1tVQospqwmKwV7ijiwBiVHCeBsbwL9Bt6e/bGTOdfRQIdnOdoMaiQidxbp/GtTuYy
UwxhRf0Ow6zi0ZFgbRu5OredMnjFI9BubT8NPbYDjL0txESzvFtqBEOo31E6BkCA5oeB2d6dTTCI
JIraK++QfHVVWCeYaclnHkdouC5zQH3s0+qacBWXQFpeAc8u9vJTbXAZv7U7bNEBBWE8RLWS7ldt
ZBSH+VsCFCuTtTZAWDmLjtYTnBLdGHf60hhaQ0TK4qMJd/ImiEnjOiErwRY9qeabMvoXRsTOCXVm
LrZR2/QwkHhbRhr4FmJp8RsAvkFlMwZmQ+fHFnm8Nxia3aTWGG/Z2GAVUur5Z7MYZlJs0kF8h/Dh
5MFoGem+mYpdbjaYfUtDzNd2mRMFkY7pNUkzEvlpx81u7rxW7LxZGlcEcfcnn3Q5XNoqZirDOQPm
1fIJCvaJeQiMrnLN0BFK4WxuEDxzy3Hr5VBPFsguY3SQ9rOPE4yXCBueDhu+qiz1+XKO/jMY+au+
rA2t/nclx3/wFu+K8h1Pyh97sr980W89WfuTvalRKH4MtOOQF/9VPNJYpfMKpB6p4mW+wR/9Wjxe
xiLQurcgOxMH1K/9WMuCxyhgJNL1RUpC1fl3CkcGH3+sjgzo6Bvz0ad+NZHk/jnHRNJ8qWfH6M4I
GLHE2yWNjbHfW1XvPQjqgOYkSFxH08kQg3GFhGH6kvYiZ4zhmGiqZzaAtcaL4GcxEkKADc/D0pVX
XuJn+X3v1PIrk0n3i1id+pxyYb3qp9yM/A0vjPA6q4iqYjjsEHxLgyuvr/O20wjmTNuGPX9oQaIu
3P+mdQyTNTXbfTVO0v8yZovlHQni2lR4KKvexmkevPvFFC45QllKl41J885iFgLeK2k9zqUNIzRc
iEKNbAivbDd643UP4K9P9lpZ6RBTieYg26uaMtSGt2VKO93dIxJf21vmnPy66cwuxKB0AXN6RE1t
yXlXNZ2uVagNbOFxTzRjcg+iYiDz+tYzwQdNNEF5P7sgW6ph2my2vk4PGGaDERpwe/Xv01Sqad0V
KZh8ou1qJRjV1NxYCyK5JFAtBCA1ilXwSxruqJ4uQxmk3trZRgR2wl7DwkFr3YbMpM0UvIOXD82a
/1jjZVEC2keVkJ80Jk1mIxG1x+RgFnMsb1GsaCcdUfM9jOqYGHfNCqbRZkyk0vqUatp4SERr0tyi
gA4spZMdBvLhwSgnxIU41N7dNi92UzmU+BSWFKmG6vZgXopriSDp0Ci7OjVNPxyKeuxIEK4bJ4C5
t3UEZjBLabGvqrqJLCdN7hDN1OGYlnPkgESI7J56JXeS5qhWP36Q6JM/x7XW40QjXCtYtbG9K3Pn
pWiq5MFKOnU/paP7QCd5/JKimIhgeMZn2abzA89Ds1/GJuNknOP70myWz8Sba8C4h4FSxzVjBMiZ
e+v7RfyaIr09ojPU7rQ53lpfuMr3oyut69iJywOZRNlKb5Ke+2vbeSLAIOO8dI5RP6llLqCLxmky
h8wurDnMKunOYYP37VTTE4XK2KtqB8CvP00U6IepLJJXC83Slb+6KNGNVkzPtm8whfBaCR9kgBTy
05hsCmGCVSGCJE1dw4hu8CYwab3nPuee5CSe886NVD7YVmBbs3ttLC14FHTMJQEQchjvhiRB3DjP
zdG2KYD7fOGzJp5WPlCx169SzcRLxW77bTLTz0YHhRFLknfmk652iGfscFEtTNKlnB9iR6XnmmbW
c4L65W2w1qraFATm9xwT4JW21hzlXWe556mc/b2dtx+j38VHQ6BBSOcCiUPs5k9+4Q1vupOXnxcK
rM/W1GciFJ1XfO4YxUYTp/HR0Xp50F3D3Pnu1O+z1rmampwOrEfDNIeBeFf7tThPs/LRVgEyJRCt
9jVge3RaVsFslWuAnt3XwL/Ps9ZSa0IIs3iK8QKlEGCxa/WaimyN1K9mGuDexQhoeF/6wHXLNEw0
nUmKmhDQ+XXERdp8taFJ3/WafMlW+ZS3mvtjFg3cP93fUDNislwRmu3KTAGb8VUF2Oda76myuGFj
Q8iSk28r92aZZMfSGNTTSlRcJKTefHcG4CXttDb39AjXb2iZyYI3CMsFezm1aIwT+4XIMxE6HdIJ
ZjDdAqDRT26YAw5fegGJpymJ+C0qPVwLhjvU70hLsjZ5p9mYfZQTpbIau2tsAdNOONMcpeNgvZlU
9kdLc03C4bDJXl8SbuzC4f7W01hnxdkp0bgdzUFJdZUSaeY1D0WukBW3vYFNYEDKO6oMmXUZZ/g2
8NAAGDBxYj02k41xpkgm62nsY+8brHmcJSSiI/G+2K3iOF0ebQ3LUDMS+IicEXuMg46IOmczSV78
vIlRxy298BR6/WSDnvFxCSyGpm7dhOT2IBmAVeI+LyFQZukJzSDcvXYx8M5BkrsFUIc8axJN2Ovz
944z79GgnU2UcqxCvil6xzxWKP9a/9B39nyt9ZvmzGvBszRS/Gw0+wfMYPMaY6Pqw6Xj0l769HaR
o7PIteJmYp5y41tFcZ3q0Ae5VH9Pdajrnb7ZZuf5pdHlE5AZ5lKGTEMGRtxZGYLsM1pL+DNX/6Ez
ZLMD0pDi60Ghd8TPdFsWY7KnlRzTNJcGs3rBfAiG0p71/j1nZvPYmSQgpxSKz4mLEslIZXue8KwB
8otFeSMamEZC1eNNQ2LdEcrwkiFddPqDDc/0gSe3imodmwHEBfmjmxmJIAA1Ssoe23tNMHafeYVL
ZE5tHTaCqSItfVHdV7Em9qWJE82A2RTqdJKiRenZNVAJN8AH0hz6YR4ie5j7L6aUwG69pg4IY/3a
K+Nb3rUFSiNzvR6nKgE0pKYUI1dHw1s1cJKrFBG3NaufBtCs3WAsw1OuO2JH0xj8fkLnw/ZI68Kl
FD/ReVW3NH/6w+QzgltUJu/GJLeMXb76EroXNmX8Oql2moYrPJhpKOrpm9Tt8it83IFcV6/4UXmA
GPEf8bl63tfUKz9kkakT5E031N2iiDrBf8WQIYIFqMVxzHr9pGMcjGAqmHuzz4zrFT76dz/3IHCW
qXZAU6mhgovLhxwD5RlhU7Zv+7w7DRQku6Er/aOFx3nvEgwcaUxyDoWZjlcZoQOso5nRYW9oWqQv
SPjmthl3lqvq7z1JOiGvnaDIxAiHJXWO02jhMBM3qw33vrarItABhOwbQ3zv9PZhGDxKB8Z63BZJ
bpC6FiwWNu0MHnOa0r/PipUKo9QdQAfNrdvKB5fsGdCOkAOqgeFCgU0lrR89rUeSSV74nhx3L0A7
R0ZUVpuAdNOzWstkH9vljVVp2qOv5ulQOoN/tJc8iVarekBZd78gUtuj7sRj2mgEDpYLEuPBiEDS
lQcF4ivqVyhgdtIwb0gH41CP1som7Fp3BCiaAXu7+9zbZnZcCRVEmWN8dITL7pizVPiLYO6aWSs4
yIqU88AaHiYUEt+zaul2rsbj1yjt6BBD/+Boo8dhvKbBKAY6cn47nOZK+keoXoxMstU7V/3yUGbi
Kwjrl3/uUv+fJryF0IibzP/dhH/+qOsPpT4+fq8x+/WrfuvEG58cRvnAPdCR8M1+FbcQ8A2AB2UJ
xCWmjfzz3xcp5xM0JJiM9i+a+w3T89tlyv6E1xBrP+Iz8bcJ9rb7H61mLlIOKR26gdINh9+fWs3u
Ii2NeMb6pEH6M9oDVuskH3exNk0InisdAQqhFuZE3uyyhJXi/DbUbB3wbbvHriK4EzwDBSK3GONW
dbbzPBd6sXMyvY6SxFEinKS1qxJnfqvmuWOvs4T17ie1cTJbvQwHX0wh+dD2Dk79j6Fu+9NoqeRA
HzCJkKN0ocHKYNZPRb6MOvYxnx2Iun9We5HSnSlrD2FvvjRvNrXtey1VdRpQa+71zNkPioa13o96
OOZZcmfI2DvWS8aclMYI8mZlg0Bk3PG/7J3ZduNGlkV/pX8AXggExn4EwEGUSM1KZb5gZSotzPMU
wNf3hmx3OV0uu+q9/GKvtGmSIBBx495z9qlfEzG2B4Mu3amfCm+TR9v2t8h1mgQkUlO0foni5VzT
TH7OycuANrnqD+PcGbiJkcGNwjuTcg5UoozjL0XSU3HIfEKAPE4sFVjcAKJ0B4K2q+Ocmuga5HJf
NzWVMH3hvQ3TecucELeV453iKg/xL+V3mguK2YkQ2otldnd082t/zFvad8w9dnNr6oG+miZcYNVf
EWCiHSNtFSRgJtqp6KuGqrvFlallK4W2Xp9bO3GSXUu2GI2reXwSaWPuUD3Bao9K68DYkpTYFgyv
vvbrfTMZ/ZlA8sjPR+PJVqV6W/LR3vUzNWrk5P39SkKND0yu2NtjzYbQKMqiNHO+jZEClbd8ARrc
o1WS2XGc0AKhnIxeJjet9wD87O9uaufLeVyM7BxbbAEFgiWSf9Ed7NySaXKauO6xt7tu39pGSow8
RTWxhwazT4TWKKe9b25Xze8xnJT9ugkwgjYqqx3PjXlvLnPPEDtrnlmUs2dX1ctXjY67ZD5t6WeU
/dO1u1nJ6lLnR069pNk1sUsktxG5YbLm7inS7epWiqk+F7N4JjSmGXxNmu0RNHN+TzKWdkLEP90a
rMLXJgHfCuezmXVBKrTSOY4aks09mAXQDN5o5lQPI+Adm3lWVhmT569qMx2YDd56uL7MrGujPC6j
m0GA9mD1GuZIQBEeMVJ06CYYYdZCwe8FDU5lrCXgAuvoWS3ZJyAOzp1tfK2L1olu8Gyr5JqK6JMN
L/wBkMeBZrzQrvp0NCPjUCAwyR1/8ubKe1vJSU53sPTX23VS/V0/ko785lUyWm/MCnexO4zPFgdM
BNZj0o075BFPZtSDy+9GsQMm7p3m2jHo2kc9RjLicJuHRmkl+SnpMsVoqpy8ezYKPMgqtBDyDwla
d6d2TjQN3F4LSwtHxy0LJde9nPBuRHZW2VvNFOlotxEjBDpz80u7OKXzSbdcTES73lrEfaW8Mfqe
RS3gVspRnxXOT+BjI44d60fuXIu+Arqu2d8gDnmgpgLrnj542TdHixbt6FYTzXOrLmaCBjAK5tj3
t8j2iORfMAPAEl/KzU+cMw/lTtHpOiMYGDguVC0ObsY75vfFlEN+MCJFhLuzMIoIcTYBkOQkQGh1
ZW34HgoNDgflZriW8QouJifXLvM/fLO/RPEMOYY9sOtbOk0JHYcDX+pV9a3jLkZtB8vYJnK4Rp1r
6cjJJzZ8RzkxIuDKvlVbzIa1BW7oejHhybO4xoEtouWpmEnz6BABd37O0YxDVunNB1S09rnyzPYK
OADPvbKi0PqICDFG6RxGYSSHypncQ71liVSEiqy0Jhy/E1YNppXMkQjpCW3jAQM4RbfDQwWMAy3Z
llUyMA88ucSXWFuOCc8qSgIR2+mui+Gx7BHg6o+EbGU72+iReMnZ0rbIk+pCW7p+cCfHvgx2O32m
iU2MiiG9axpneGHajqpLmfFh6IaVEPp1RC5W9uvyRtz0N/ao7kJzEjeIg984ZVyAT1xv9cd4FdFe
0S56Rr7Z35sc3Ngc8PIWsdPf1oOr7Qtt0U9TpUdvq2EzIotE2Dt2TD8pi45kr+ivuSPSsC899/PE
qbL2h8hoSNpo1bWzOuvZtDiJxi1Q22Zesi8JfdWT1daMAwCyDloFHGfQ1ywAsMmJJ5ukucuWaL2z
vSzbYWY79HjOnlenHq4WjAuHLZroYCGSBhsrEPisvTZhXKmTWwfIcxZ2gDuuU8kS7xmSGQuiTH/m
/R/B/Fi+AQUKik6U3DVLjDpo3diymRcfMIC5NBHzqfDp0CQsjav5KmXbsRdaXvMVPfVwJgtd/DyN
Rr23hlXuchEJDFKt/KQp3g+LWRw2gihvTNrNrquG4pLrc/sy8hyex27o7mjpejccTip8IEjXsXPB
rJPJdMlra8VpVtjHYp2+tK6Z3iwU4p+ietQvUSQ8/ie9TSWAXYqTM4pIMquhkCjAAkHKk39nAZI4
YFjsvrpOheDTzhFbrsN9h1aKdIzSta8A/3j3OI/Wa5Hl9beZeajfqFJHbkXuDPaST1HH6Fxg2KV4
cMhT0Ba5w83WucyGtVdVRfrOpC15ttJUZ9jR42ph929DpUk4qCJh8ATp/xlhO6S2ETQDSXcY7z0O
RLBqlO0FLYLlYPVcDq5oYIegLXFDYvnPbRFvHpnZXaXLQ41ZEMd/av2CZVFmgrXd0TNWgo5xESfL
yV4S5xELuRuz5cVlGidPvb006f1/6/t/p743TMum7v7X9f0tYUM/ElV/fcmvxb0Q9k8E9bL6Gd4v
+NT/L/BRtaBsl8BasL0ysdsw7r/JbOyfDBsNMmX8/3txf1Ovo8BhhImrBOUHGcC6959MS6hVf5yW
IEkHMsogx9JZCFzUQD9qSfJ+XPN59FIQiQxhvQDFN7LKDgrZrRc1JoUSqb/9oS70CiFsBDYVqfSU
2kEeTfWsLkiHWbEcGJB+T0rHIB/oNNDg+2Sh8sz1wM6R/DVTlR+Zberz3QDj4TslFVYon8N/6gad
SOBNGKOoqXFqVGjudKg9E4te0manMqvEu4wZ2/gc391vmoEdX8EnPjm52fp1HWMcG5ziwULEcWDz
XEPpFTrhFykzf1Rr48gAo6N8XIsGY+oqTe3Z0bVvrrLZSi1KXYyWzsVOpvQqxbtyA0YyvXI4RH+Z
t1E00hfE4iwJyUNHsEmCQ18td9O4Rl5ImEXZ7WTDN0bxskKI6NuiCT09IcGHGRBRGXGAH8z+lmJ6
ee7RwWYXy1AaMemNc5vSsZnB0Ch0tQUMnmBwkoTa2VMemSX6kC6PjjUMVcgvsbxGC8d9jZ7sSE5T
FD9iS4g8H70yM5WFj3+V2lFyvc5KveLNpAVnm0q/iqlAdx7eHfyCIivF3hkYTSAZlc0n0iEREcRt
RsfQmcqT1ld67cMwa0bUkKt76xIiNiJ43PJ2sjVlUOuopF/DjNFtF9qFs3xGaNPad3wTQw8MBBQq
JHRPhURWQCDTt6pGy5J3p0NQDdUvP/apOe7nWNqhtfkeUcE49+2KksevyAgPDVhtrM6YEZYa4ale
tuJes7x5V02lfYpMB/ls11n2941HEeJRGC9MAVdsC78A4+IFScm+rbTmxvxgyum/AOaM3JzBzXmE
1LsoKbMSUSQyj6q5M/OWkeBapcDxdAmssGIOhZjZH8vevMHmiU7fRzPhuuDohCnNsEQmKe9Z2Pmt
VjE5j2VTpXPoQK5rXooOxg6qWkB/ywfzr/vg/yH534yRBkc0+k1RB3OpiZPvZessTQAWj3q7cBeS
NiY4cn0QcR659Jqb3kwbmtCOqvmr8Qu0sIdfuDQVMn/1ATdEmFx16NxtPTku6IbrI6aYgjJL0GwO
5g9eot6Vzr6K05SgR5iwNFcnXKQ1KHSebE6xEFaaJYV5ldUj/BhYHNPNSjJCGxqaKYM64dcMm6nc
lF4fiIeMmUR8Z3+gHzqaVM5ZrSXjxY0S0eXOiDFExgQOUGzjRXagShSak140xMbTfvpgT8DQhR5R
bkgKY4NTDMi545Op9w+rGjIoOKP2pn2QLvoP6gXemcW6DLXs0RW17Pj7eORUr6Drmb674TRWuq/I
lKOmqw784UbI0Soy1liJlkez9VR9ZVgfWDc8z/ah0BMYUw4w9itZN937rJnP1ggFTqZWD+4mN6jY
5zwRuHCjBZRgo6FtAKN5XqPMuDermecxMr2s3GUxq5nFaczPlzY7rEq6p0wjPSl0Z02pGyWAuDiy
r8iMbTrA527U7woRb4Uov1UNjmfNQmM15b0GIH7ayzEpQoo/4xpzqbeTLuSRnZY2VP9mAk0YcH8K
87Iw+J1zM86+da2Tfc30QXsGeDZ9pnc9dQjsTJNnzVQTBmFKtVIwfbqiUWEGhGxk/c5mTtBd8x+Y
I1MZlDg+2k9qQt92CYs9mb1mYaCDVWg1eBmWAoUZfpEkMPA2kPJmd/FW2eOx0doORX5EJAO5TFB1
OB3VVTO6vgu27EnAJXqZ5vWTyS08+Gm/0Z28SjeONqTCe9tCRhcP0RIORtJeOeSs6djyB2NXaBbp
grWa1UMV9ealKCGzUmw5pTjPXV2f1wGF+cFta/naDuo1Vopz88ARWoQiZagaTJM+9D5pnWo8lxuu
aF1E/1BmNcfwmv0rvheKdGvcBmaxrMuxlM7gEDvBISCOTi2Rgu7FBMS4/2899W/VUyg//lJ7cke/
tF+K6WuVfv19y5QHc3vhr1WVY/5ke1tfFLHCRgrZeqO/tk0/dM2MyijyP/TJglf9VlUZVFVw5NE8
/ypb+Ufb1PvJEdzbyJYFifKb3Pg/EC8b9lY1/T6t24V4jwFYwMZHSP1P4NsCtdJaNjpOJKfKl5Da
hlvcIqL2QiOg9jiVZUIiMUm7cj9zmvV8o++6KyZAaD7XFstukBS6xkmhHworTHBraT70gREx4Rt8
r+h23kz4CEn00EyZVfpr6VpM6rW+JxBiMcPVLjCLabJHMYrDhNYUM1EaZF2WrIdtgsiAfGGX3ZAA
aLp1pgnr+hwZGsQAE/r9rvvgCKATakmo2+gC+gdpQHxABz74A/kHi6C2Ny4BRVIe4qCLwjGpjqmz
pj/DMonf5g1poHjNq7XU2YhKBuRB8kE/EA4SQd+RHgkd4wZIqDdUguciqJk2fEJaJ8N5mkEqiA2u
EOmMYuBCgVyg0sMiA/F9Yg4IkkEx8/K1DdMAbtBjttxEOPQ3jIPbcZkFsCLeAmrsibzPcVc5oB+M
DQJheFx5cwNDzKtX3g0bLGLYsBH6BpDINpRE8kGVYA5endAbsVdv0Il8Tpy9gUR8CLboSnIhY323
ODaD9i5nKSevU/+EGHq4GWvztbfi4VH0feUekI1DvDCgtzV+uYEwqm6UL6rIjX02SpewZLBbHMij
6GxuGI1F6ghmyBknqG7qH0gIcemL2JF1ktqsv7MzVjuzFA/OdFd6RRX2M9GAFD4g1kb0ktQG8sJI
efy8qSeeO6Imb6c+swKvtHda7w4BfVVayMlQHmSlipNXdNENbpfq3mLCf85N41OKVCPMaz0PYTks
+6qNo8dltNqdrVnlcSZaRq/FEOTE9jxEY6vfktPghJEy5yuEkVB50IKWJj2KZNTrMKK7lWJCraNj
5kXWnmCT/N2b5zcRedqe/Soit3koxAM3Oao/RgJEOomS4t2TO+FaxL1Jw8SqZ93X3G0BjrrrWo8S
v3RbOyQC/JUsZ6p85Wj7BJ+Cby0un7KHAh2PhDuKUaSnYkq0V45Y8VVTJO2DBfftvIDiPTlu3xJg
kxC3y7YQFGaXXOTUct9w286+Aqd1aBDI+mOVpGGmm5TeKPHRPaKLfFjmwfKJaTRrOilmucTi2Y0K
le4Rm8+bfFuspj2CeEzixH2YbVXY8KM1zx0fDSO35keLbdUyif+j6HgBHRhnO93K0mu70537wU2i
5JMy13Lw6VgXMNe8GrNBYacL709UOf0EA1NEA56iyAR6lw4rV7czRa1Zr8qTVXY1bwAAv0BJxbcB
FW6CN661bnqc0tScwRylm3g6/lBS5xLM+Oc8H7q1CgkZrRzydqyeKXZje2s49cjpQ26zOP5cijQu
giwRlMG5Vpfcnvhv9Z1aVsGhTqRqM8PNi0PuEz5AF5o0TdH4uAyu+Xmsq3l4c3JP5PZnrpHHFl+M
QLTRNEv0QVXEqZK/2WQDMqWga+hTjw7RU8W0gRqz5dAbGEOH5MnQSMX67079b+3UDriLv+p8PCT1
95//56ovvlbff9ipf3nhbzu1+ElsOlA2AY9J5odF/9ed2hE/uWDIMDs6bMrb5PMf+zSvYB7KkHND
bmwT1n90PwRA/g+/En/8H+zRUv+nPZrOi9RNXLx4+MEB/MHD03bx2JUeMbwafQiq26RGwIXqYRcz
E6DhZ73O5TSdCYxL4Q81r0VsbdJCJPP1WLAq0zUNG+SAzPvLCrup/mJFeoxGp2gzVrLZDVfEo1ed
cHCtLJqzzxY4Xm7vXBpgML6hxF2m5u6rJ8uzPaMy0OZDNOB1GjqLbOkZmwrprC6QpfR91Mf0gn0U
G4XT4PGHs+zrmrv6ysIAkurrde3pd7bocd9289etYoaBiDnRXAg4G9L3vsjYnzmT7ZzavThSHWZg
fwGBwu9eXp1nMT1EyiIEMh33ppEzdVvvzGy5xiyJBjPTfHoUX6ki6rBu1zcL1UQxibfasV/bpd8j
7wB+WibyE2yqY9q5tj/rRFPVZNRAyXKhMspXuspfHR0QAXjAB73Lz9sVGNgFQ+LH37MGqHSPV38v
AaWHssRpP25OzWmenmI5P2yi3sDFhX3VFd4bFYB3oNUKR3u5Zv7ICX5DS2tzz4XRdSTuAOCT0QhU
rp5s5FhzY74mMj/hBYArmYEPshgoSBoUttnvTL7QbKbv9bDcmRxV94sc9q3XoI03N8QXxieFqB+r
I2MZo+ZCGUnH0NYimJQyINmlABuDceOwDw3rcaxt1zIpv6LzoTjaUCYDK2KwvVdj8h9o7Xo39/rd
YMwHqM7XwsWxrk06xPNaC/CgvEvwKDtLpOc8V9dUjdbRrWlEZSnfkGjsF4C7aGoGu8CiKzUAjbzR
lGLHSeBZ3cCnPSHSfOlMZsuJpZ5K3QrVUs1ghLshjOr0azWRr1EYinC39Xoy4pQFvEsveeu8pkr/
5rby1ptTEdgzzAZjOK4WkN1WTU9rax3TtAFv0MkjAfZk1OkuPv2BbHvcX9d2vSS7mTg2gu2EPHkO
dwJNeMSyRin9ptdfqli8ecgjGXkRMj3ExQkV2lPbjU+mKt5LsgAC3QapOpbqSZIU4JO81KDNonJe
bQ2LgEjRsm3XXVQ2GlfztYZkubdNCySc6aDH4XV8T8TNtNVnab+mTregk+F2ZIu4NEgAvxA76AVO
liwhkqvpXsIgDwsVR2jhECQumJ6OdGemU1tb01VP4uCVmjRSdZOl2OF8LYkFbpa9nhTTiU5lHxha
Id8G0X9Zps6+EW7eUG+oOoVS0aHNzUIPglvo5Ov8NXJqostRNmMty8y2esmr6KVUaJLDFSZb6pdo
9VQSXSBff0EKMAW5KuAbsN2tMg2bYel2aPoSEXa2jTQvVV18IooAhJ/TXuCa31W1iZNZM19qDbVc
j6N6N42g+Kule6sqg7ktbbldYYMjcSD/Natn70vkRjTg6uhODNbgo77GX58Zb7WoG79vS5psKCVs
ZYi9dOh98CmohAjc9Fsk36HCxXlr6s54UBuzd8mdV0ezyWZu56to6t61ubs27fz0u03nT5yYf+hf
b6EpBmdAjmwf3oGPyJnfeSHTzDbHbM4RAdNu9uXYDlvz7JJaLW0aYf+N95Kd58dzHe/msaFJi2wY
4X6c+373bhSBY2UvwJNiHvWwEvnJKGTi20j6/uadfoxOweNJGAwNeebGHFe3KDI+ye/eaXYcJTMY
a0djyL9imiIrguWYYR+8EOxIiBTnRf+lK/Gm/jf+uf6Ta/kjyebX99wmTVhuYVc527X+3XvGsvIS
ojqI/x6sBJf39FQrHmw0DcdZA2+9fd+igKHQs7r99c8o/0lotH1fz2bwxUFc/BIl87v3bpDTrhgV
q2NfdjLMkLsyZgXGyHJxTbcmP+qeept7hSNxnqZTNvU8t8gQyHBY3hKyVeJqvR5jqGt4q46eV2oB
GZo7w52vZyBvsGs4vCHARkWRnZEP7EtrelBl/KJbCZHsyryMdPEDVdfewbIIEonRRAbA1Jfwr7/p
n9xChLEjGxOoSSzjjwMXo0jh7BsmbB+j35u1fqd76x1wz/Zvruhmxf7jvcobya20QlkGCfPHX9Ob
BSMOxqDH2CMMgqPU3YJAcgeSn6YdvcWwd/PzEIvyvpiWO2fQy3u4CSkO2/i9nViXt1IFDt+WTqKu
Yw1LqocoSPPsi+ymQ+Ky3FtNWjJBSOxDqwz6b5axHMrYaHYqXdLrUe/6hypXL6pj2x+N1DwNqVtC
WACbDm39ndEm4AnSCPxOufVBadl7VK8vbjzu14GThmrkMVmsY5JUaQBue+tTq2v4G0VgjOsdcgrp
4zMTe8/VvnQWxBhHUGP99Q/2JysMnqUttlyHjcuM7MfruCKzbE1NVscVqvFWTihWNjwkYF1nefzr
96LC/qffzNLZp+AiOJ61YbB+/wR2xpI6hblUR1j2D2afnkoIo3/zFn+ysjg41k18WABfjT8669ME
1CEJFwDgvKmB3KrAeUbr27bSA6pYkE+AWDXMo6cZlznykh0QxRPGkU99ln1zsR/5Rjl1kC0yeSTa
k03WY3UinetMw+d9tWfJhJ5JTyFtmPMwNtC7r/1Nkdo7MFXPLg0WxNFufAXzGua6Rd0ihGQI7rXN
3uiMxCdR3jiMip6VbqTvFi4ILPX5eVL5KbcYK2CCpEAVHGEt0QQVZ/GANu9DXRnJDrjW38RYmX/y
xPJbeKTOsQ6bSDV+/FEqoxlQh5XVUSCa86ekTIOUGGTf0HK+M27XDf6fwXlyLyUW7SDqO53BUHnL
GOPFZYCEBL5i6BWtM71pUdMi01/nrJGhq3Omzif7Eo0OLJ3IuiR0BrFOsBI1YCpDvNsvhCy8rb3u
p076qCTVIUFRadBp6pAn+stCIeY3UdIcZDEDHZgfYsve7ODcn2bDwtfbE/omzczCMiq8g2GtL17T
Tb9QOP7l1vEnDwl7xvYX/VNOb3+4RmhLnGKYJ9SLbhVS4ijfmfk4Jh2+qIn/5hcRgv7uH58Tl12Y
ZY0AavefnsnWlAttoLE6dhBud8KGVQbQ/hSxU3no3wIwgQx8Fw5IBCIPfpZRAcbF2c4pAMc6sjFW
ew02h6llNkpMbrrZY6rF/dbn4gYh9S3JTX2QeFT7qqplKJv+jfSUB1XQdHW2zZjbLJb512jeqlSI
uOg9z+1YhZmqjYBydQfD1N0P/KQfx0smnDLEC2eQF5SfGMPwimaeIOCPg1+sQ3Kltrik7RBEuhRI
F4jTp2qcn9KBg6RL5zdYW4561jo/dUOs+4vpISGdcOyKu1ZLT1JSrQkmbyQloMHlH7SSP4mm7YZs
RsKoza7fbY9Rr6xL7cxPNiMXv7CItHDthhiPlmoJjO1ZYSYJkcz3u46+UZuRS1UNUXvjWeqtG4Zw
HrnAEF3OKbHBgacoxc3CfCV96GFGXwX/1zpO0By1CT5A2W5iAh7gYShOHIoPJeoaP40nbkyeDnse
zniKvySkN59yYWG5mUJpdEuwHYzwk6WHucU941LZA6R9Nbr07/Zj+08eb2odC4siagxT6n/YJ+Em
ZS2ijvLYO8sbCLAHLPkX6gsunsVjvdVfH0ftekMYDx6V3sczXyXDHg3pTGQbL6OhFeZDheoRKp47
ddIJiyFuAxIFqp2nxuVYiF7jgJZD4IoBAbRVEb8R6Oadmw498RqzLyLeJxtmi8pbHSYFGmtMNiwv
k6Tc0jvZBLaejoGKCS0vXCrrmIMh+2EiAXqBodiGmePTMLGCdsbw0IEDBOdVnKdxfDAtkj/rwlY7
jOYybOf1mkA30qUg2pZCW5lYL2+kMTX7rhkeHE4HYAFtsqk4PxXD+CSJk9+q+cH5bX/9rw/7b3zY
pO0Jaol/rS16rEf4mMFXOChp9cM07NeX/tZjc0laFjp9N5v4yI922W/DMPkT6h4Kin+Yrn/zYls/
gcUEWEnIjG2ivueu/7XHJg2gmq5u8UjgyzY22v9/0GcjB+APazXAIN3S0SoRUMt5/48nmRHpXNVl
aX1U2IPnnZfkki5ElXqHBKrr3q5YyIEoZO69l0q00EZapRe643U4FSi8w06Oghs1lZ9waS53AMir
x6m3oy+eKdRds0osQs68WkdUjljQPK7RNcFtbJ55VatgVshJwkFTGV5nnOPyhjofpjldcR4j05Kk
tLcFKRheCqWgWxaqPBrLaFhWzNvvfbllSzneYu5zrTdvSYxTd3kSmYFW0w/Y6a0mT+gDwJLge6+y
UJOJkVwhlQZWRirkmawzUt0HA5nBSOwakyZCw1g19Wqninb6rDNy9sK2jIafeRfCqTqzgrATjYSI
YZltkWo6uIp2ID/kFfASu8MaPdQ5gfUzfRidwnUnV4JGUn7woxVZCl2GhdhXrGn0fbUtVuBczP2n
ZtWwZ0d8sk8mBtBP1aznD16ug8tTaXI7j1H11ADnuR36blquVatiC7MbXRafmHuU70VZiAhNR8uA
YU0a917lfK6WzYN1CjVz6aOfgeRmZsq5X9O1+SJi170jFxfhI2u5LsIImCpypmKu945bkp6wOlfk
kjW3uWi9O4sEc3zuKFiPPddvP4EmuWG+gWsrSeYbYimJtU+mssQaVtWPQrTuvcY5glNKwk5EPMmx
FOxJ7DHiKYK8dEWSojxpRUoU8+jUtznpEdrjymxmZzsZToieuVRb5KPJ3mxY/XHVyoHvLOReVmn7
bWb/+tyBqPjELBchjEfry96oFP13JPzuDr4tQH0GG969Qs4DH830Htmj4nslV+BEnsJpHViT/EID
Dxkod55lhEOizV9dHATIvFHCNo104v246KhfVFalR8JHh/WKrAIOU2k0amS9aeSkzrB3dlJXbpVA
2vOy4SqxmBr58dyMD8B5LIyaUnl3jasJ6Qs6Q88Vk+BzggFyjgNUXBghXVLdVuy2olvlIVaLDuZU
y7KZpEiNC9EdFzKD3M8tRBR4TB7e/qSxZcTvs2GWyEIa23kHi9fdx4Rywe2J6GQNp8GGE3lVAIFK
PxlN7w0ngA8Wjn9un1csQxpJpB0tsjw6k1+FI3Aa+k9JW14IuI1vCioK7y1DizcZCLrL2tROJG0i
lXeMQn+2JAyidF3YBNF77KJuyfc6wld/kHpx1a7xTCYcBhDNS+oziKl217OHERKGe7/YzmkAiAhJ
y7mHXpidxuD67ER7qmIZ4R3sABPAyiwbIFaiCdPMaEM7V/ATBqOPv1sVn+G46ClJaoiex3AZlLrW
XD27QpVshYtXPdSrezPghYYGJno8trU6zUSh7RyVFrSWkYlByznQjdO+g3fdEQzV4URZD8TSZdAp
DeHTWXcumO0fUa7HoErnA7J460V0W57FiIRxi+e9nV39QUhpMBLgKAzDCh+SCTR1KnASu42NW7Hq
A+a71bVeNf3P2eJc9NWIPrddPoMCbIvHyqa4zaa6h25gQoAq+ulOjJHcE/FW+HMKrtS010vausuh
MJlvJ0lf7BcBBYDEhj4Q9AOCtOvqJszd9TNxZLRKC+d2bbrzMOdR0GD4DHJZd4c2QjGa2Zp+xrc7
39o9jAOEXt9AwLQH5HbuLo2WaA8kmnl5ZPVBTTDDca0pZopp0k5ZmYrrpSC8a3TiLxuFJ4wFJ5/c
WarQ8MaawqTuPs1ZOx91In+f6fcM3Bizdog79T52NsmPSbbshu4jW9OIvsjc0kofzigppJlZZr7G
KeNqtDktABY2reuqTZu954F68BvYEodmJMcVl1URKE1z7scm8aA5sjVlJRGsg2ViJp3s1bksfVtx
NsT2n+3cNh2wi7bRi9daPLJWGYHpHZMLiu/2W1UTRcqAOs1fG6co4fBwmI5Sw92T6+sd6nVqPjdz
pH/C6KvthmnEpDxX6wVSBomXLYlhpSzde8m/OPe20m45Sr84cYtcXXgt3t8erBHDUKH8UQ05PgOV
xTdeXroePTKrJdIxHZ0gN6ga/RapVGjOeL+twayDyRDyIrGvIydJFKpChI0HB4XgwWkcAri6GJpV
g7m5hYvyMjR6D8Cir9owHXHz67Lb8Kz1Pc1+/YKHqArdgStNjjhdWiJYlNEHahvaGIBrN3edhrLO
yX6WTNF+HsuOPlwiCVVD3zJb7IP2ckKA78kgW1or3GRiz3UyTg8JoIXvCgD9rvFa96aNjC+aN76n
eAJfUQUpH56RHvSm9UxOp3bmmSJXArsdkATWuXVpo+e4Mw80WL9E9viGYcg6rLVJ9G8ElAUN6Osy
LV44FJBdHaf72pZF7k9SJ+tTQckTRvMz9saJAGmtDg0X+9pkMJILjBVo9WpH4q7AlrbL+zm/r4R9
IaKuuqHFN+7KwcCPbaALhseadHOzw661XjZgOIzw/vuYJU+MISilqC/oxpC7Iafi6BDfHjJdxH2P
e2GgC9JuxUzrBgOnOp/MRkjWVZR+NfL8ScOviCGs1bGZOOmxTl3n5050D+Mk3iNOH26XtgGu489E
j+qYwEmaw5PpnDwMJzeNPgJUke1ndNXNnln8aSY/krUTLwcQfgSN8SSPmVrKKzk1V6SKbKBe8ZzO
S35TcM9jy4ZXKrqeVkOGzajRs0M3Fc2pHtSjuSb9XuD6YLIJIBU7w/eB+jMYJH4s2vZTkGK6BrFd
yoV+SjWBdCCXZKn6cq/GuvQ7zX2LYuMVP1z0WW8teYt2uwCeYcEaGLivrLfSKAVC7pFBW5I2103F
TG5sjZ+dcibgRnyn69kmsGqKBo9HPx/dBpNib+J0TFtEsZNrJwcqFudBaEscQsXK9sgq1a1ROdFd
F9Wnjh+9LrpDCkEiWXozsBygrhkTPBS/ChawyMRFNtmzyhubqWoyHsCkWkidjKp+GDExBRlHQWey
+XYxKAW29BsNr0pIYs3LkKWHrdhsRXULTSwOzNnjlFe/owsGylpCydH022jub9dii3cdyEUBAZw1
5RfmolBhe/U09+NdIwaQHtWZag3as73SaRtwXS4kelMDQiRfMh5z8D4JaD8Ur4yqHNP6P/bOZLtu
I9u2v/LG68MDRaBqvM6pC9aVRHUwaFFCDQQCZeDr7wRlZ0qUU75+7ew50yZB4OBE7Nh7rbkuwCMG
F17ZVOsECbStffIkaHPNN7aq8v8mk/yvyK3L6Y3j1t8d/H4ORvjjB/849hGMgHLB8lwmJ64rvKXB
/8e5zzLFb3SR8bHStvSxpNGu+1Nc4f4WCoy0MERDxgKL7OJPbYX9mwgWDaTnEFCynCT/ybnPXmC0
3/fozOWgxfAK+SNiTM6aS9TbdxOd0GxpG0WNcRbCGm4xwZTbWSj3WBZzvvVl325MTKt3TuGBqKvh
gVosusfACqhq8np80Jzb0FsjQLaaLqAdYQ4uNumsWle1la19r0q2eRffxQwJCEcd0GIvfFBRPY19
frPkl67yMYaTAYMCkzq6OiTENM3KquD7niNgbkRh33dVw5RJ2hiy6GddiXFoH3CEUGP7JCDhwSpe
TQPLReA8Mof66kiwVyTL3epQU2TWnrtvRldUKyfry7sUpuKplkFz1n5C43FqynwP8AGxWFFNF5q8
t2MZTyjGQZSeBGrAXdf2rB7ky3mYyk3zCjemPa1GoaPNMHE2WvkT5riVNit9mE1lbk0pKLPcxr0w
VXBAyn4nTcyXDu2pyzK3zlU0lbQhQSLFARrqPME73jRBtOtMWa55YeptUFlq1cQ50hEqfPBBas2H
VZ5n8qR3vmv42G5gEkU1Z7pe+HI32TEK0KmCWIDkkpNNXsz3jcvOP+rkiWOr/YhexTtOwh+eK6u2
SSBuQkAfTh1dSaVtc4s5MVUIWg3yMs9DFTnzfaWgy/TbdKwD4zOxnzgLVzBhjRlZYJtRlld1O69N
txYcRkQHbgtMm75rnCq4CuOQrKoRlcLEoX1o6CwioT3Q6Jv2fllRjGHo8K+nEqqqwXCLXSQ1yqRb
BXPrDGgOUvcC4zEZTxal2NbIZ06x5BGwwMKcyq8MjUPGoIk6AQvYo9qflbqs/wBZ59+41vyiFsq1
/Ma8xrvfeRCwbWjYambJz9ms63QBZSsK1Wy8heJa7qumDvwYP/M8DOMOzq3Zz3tB/bzUjBz5vMfR
7Fvz3iBbFNa2EWZFGZKEgLjW3uFxDDhUkJxWu+Z0OaaVls0OhHnVr63CtD4QbjfdjlB5SkLCqgaM
S2plgDONGE+ORRLs2uhb9BhYr42nJHfTHNuBT/3XeeV0SQgbrtgqbDinxA1mBdBvdxXkF7lmJWlw
puYyeYrcKi+vjEzb1rrEroAxfPQGTLKEoq0xIiMNsLqqQltsJYe6IiwCpJcTr2Hma8iiCREAQGim
D3lahOClGs/51CTC3hRxGV83iW6uvSYNKH0lHc8EOtuePwDXhdm6kCIaZIVVAXtUY97xWlWRXdxw
OPMbaznQaMLrV1ZoEQEIROCYBF50DKRv0DpvOx8ueje5G3IWuxk3Z+XzkZOusIypOr2yhsQmEaTt
qJX86qYJZLz3G4FnfHCvw2yIH6KCfqvkUOlSAsfz89sq/99O6N91QjEf0jX8zxvi0xeFyLn7Xmbo
fPuZP1ug1m+wS9APOKb1Tfb/r72QxFNMWfgoPfFtV/vOEOD+tuxRdmD7/6Kv/HszxLGJCkIApmRO
L/x/shm+G+va4WJpDvFsMl/wkTy+G+uizu1n2ipIuEgXXpVJEqzo1zur757JzTd7wf+p+vKmJtS0
/X//dxlU/GA68CwG/h5mUkZwPInl33+34UY94GAHKsKhzwgtXw1miP8Gf9SnJafwpvRAAhfQs9WG
uDn57dX9j/O/5fP66eKA55iR8th8HvaPF0+8opicnDCeWIQ1m4hqR/YvGrREOeZ3GYaDlzgsJYbF
KnU2uPLTL5PBKrH1lOdsCppJK91T+3YDihOnMZpTn2Nnb4OMkVhWEOCA3IjjUhyTtNr60V3pFePm
1w/wL2/CF9zAMgziRXr3BE0lJFjLOTw0M3DdSYCwLo2SNqI/6scGPfQ6snJSzY0SSRZGWfk8hugX
3RoY5bpLw6X1ak83NR5DKMAzlTxZ7rsBAs0RS2e+CwY6EWXaMznC30T7oeR8/et7+GmaxUsQ+GD7
UbcynHkvL2mFQ+PQH0MS34gEVxgZVljBNKf47Ouvr/TTyHe5UrBIoRjAuj+hgVx6XSRDcaWBGCQk
Qw0fnhc0J9U5za3p0of99fXefYmQAy+jZcJxbF5xELbLG/jd621bbVUB2uN6capuWVFgPPSwt399
lb94fsCOGCwTfsBw5H2iXqhYLsB9BEyWx5S6NPsqnTA95G3w8OsL2X/xdXVtNlTyZ1kXfloUshh1
xsg7eEDAUhxnv2XvCXlntOaD0yU+PgaNeFqgjeZ3enCDC1nAMxC02u8gujDAc93mVmmPZpU3cE6T
FiUyPQ4yd+MlKYEEFhrIvJuPQwzfdc2UQKA6zEY6niLmIpMUNqYK2GOt7bUfRm9OD7++SedNHfPD
ooTdCvkG3hiiCsLQfXcKWEjd6FvVdBjB163KuGZKGQMmxDGY7+q8hbfm1F+J/jQWxAg1n/azQ1Eu
sTGW7Ha5VITV5OmYrnADbBqvwliDBfzK5ZD8yR/L8gMFBD2Z0b63EFhCRhgLa63gmj7YZh7uEkjn
m25IpsckrqAxxaneQ8q12M0/sZzlB69z3eu4txlap3V9ZndJDqWMyESFSXLA56qBBKblNrGFtW+d
OnhQkZsdMyMDM2g1VJT0Ij4nHKfAX+WoWuQ8XMvCGpvVMPviAmNKAb4N0p8cbIECGHO1R8uxWHcW
KNgccO9Thzu7YCJMYLE2riFt6FcN55Z5QdJtCUFz9m4kmF9lHhDBmbbCxvBnAc3YMR84SJUfCD/L
v0orqcnRMUNIXKGiH7Qaa9NB6pBMH33yFzZ+aauDG4bFMdPZdDE3oXftFUz7uyBdoiLLdLzuOQ/9
TmCL+2I27RZLM060KP9i5EZwaVDLQbJLqUp9dSpLMmhJsWvASIWLNra6qiMZIWzHz7GKiW1YGWQs
mTK7WJ4nPZOMMhKlFupFOJxW6Ty7CdYxdKzY1POyvMC6qx+NIu9s/q05X1m9AepCL1WZyf6yzsrR
2SMCDo49VtkXBbb1JuM5VcfO7Dla+K3zkIsdpGXeiIE+Ut84zkuNgGCXJ7aBimMikmfxSz9Wuu3X
dQ7Sb4jgsbdTHR9G3e+SxLm1o7LfsrYNRzqAeqWNqQuQGdqvcDZKFLeWvNWquEwjl4DbcQAKFBc4
2aMcXHtJAoAyzZO0sR+bsRCrLJzi+yqLLxk8fEqYuBySrjPvImvW20x5Hwh4erE5sGwYkGRrI/PC
p86Ngp2jlHXhT/0IhjkPV/UwT+vSdIjPyhqDstWMmEoaCUsUlm2rfGMh1stkIg73OexbnEVB9GzI
RPPHTBFuqFysmb0SXq3MZuDlGkZ/wzZEdFcceChXxjTd9LFn71XbGmeXTvxFZwBZUYQHv2So1QHg
tz7nA81YGWlWJq9nvFcsU63FgVdb4phgIjtYTmoe/Jqvi2fAVOEY1NiEm21tQLwkayWoirskWoPc
qT6rQcQfM/K6Xj2/1R+dQY2nMgiGYz6EBCaS2XahTAMgPwCkNR3Q4dhbfL8MncNOLTTGYjK+/NY6
Mk/252ZjNV65Lc2YLr8xT49iMKudYzKQNXMIlaKoBc1kVFEMstK95TXVRTrVLeFXuKpcROQXWdUT
uAWrqzmR4JJvvLrXe8Nj/Nm0Zr6LskF/HZgo1FfknRabSFIUzAO8flXb+EFs9BRpzM5hzeR22GYv
t+Yw2lvuWJ18j/P4yPiKYGVTc9qmfz6Ho7i2+aJe6dRs+k0ewWfATlkPX8hsGZmVmjO+/kx9TnyG
UqQR+E9vaQ8VRL0Hw6S+KGqZwLsYqU4GSj5szeaKuDeSJ3CfMf3tUaNuJ9PL7wrGRR+zzMk3uTmP
G6bk043hSkY9ueUcRzKwdxL47FPdtQzWsMG/zkZiku0lWHsUN9lIyi+vqInAwGVw0NqRV04yRye/
RaqjRyyxa2I8cwS8C3tIDdw5/PHrJUVx4/aOvWW0CVMD0tL17MuoBcQ78zN2WBBN4XlLapbDX5L3
obkfho5bAspGGB7HZUgaeeZuac241xYLw3qumMHIzp4PZuYV69DvoxO1igvAwAtp5BbqNHi8r5aT
6K/UwMNTOijW9dpuTpjZgRxR29h7C8jEHg63e+7wwt1pLpBs4ClQXjCJ5c/WiftpxOoB98tLujvT
l/wTiqw7ZTIrVH5ifTQDlwAvpnn+0NT7NrOR+lEvOmd3MsHvsihYGD3J3m7ETibNdCxzTGtDkRGu
4ETJtq6g7UULvrvrUpw7o7sFg0W7uYIEkifxsFdy0Mmex+/nnxVY2eRCtWUDXEEj1e+mCmJwVyoT
tQSzlYsQXp9kZdUtXI3AFsnVNNpTOR/ftvf/Hlj/7sAqGCN9Vwn9FKHw2L0kP5xWv/3AH6dVIgqI
jjap0M0/FTb/6txaS+cWxT/4izcqEPXSn51bdDlkLlhvVrk/tTr+EnNrOkt7lYoVPvo/Oaa+SX+/
K9bMgAE+byWeO4dTEJ69H0vsmllBUmuyacJqNuZ8HaAL0DuSdODclcI55hOs8/UQx/LcugIRhNYM
j1gsb3RTqYOC773MKhAy9n24ZX473SVauzecE9qlEsEMG4FRcehwDfOBAkJEI905PVXNug8H7IKP
STRxTDwQoYiZJR5JhFmZRWRch6WAUEMbjckSPESrDmjF+jrtDyMCqGk4xj7W3ugYwR7O8BwFzXAv
Bx7yvVHVvo3rigJuS/FLBiTPUjjAbZiHUDcQ9hNL04OeZceLNm+mr6tKUWLBK9KrqCyTfePbs7Me
saA+VKUNaQQMCUUiUt4Cj9/vI5LgB7KnFfDwMslAPwIqmaChzwxtdkkd9S+hBSGYbyyzpjRXKUo+
kiHDemB2joRyZjR0ypgKuvTG4DFx+BxHc2jOBF6XlbVkZ05XSZwPxpF8zFFvchp6+t7QVj+bGzPO
swVULF3b39vQhHqKGrPumoNlxpG14MnyocmnO4DIqbqUUHOAoq5KOiPl8N8V4X830yEJngPrL1pY
qYoRrv0o4/v2Q3/2sJDkCZLmPXtx4sC0oFH1bx2f5/tI6EJEeZy1l8S3P4V84W+0qJD/sQp4HufJ
8F8DHYfkbAcvz3LCDGwbIu0/WRz85fo/tni4vEMTy6PX69IIXg7o3x3Ag8Gr6xpXO10sXRFcOtTA
u8zQZSPWDaGqDo3Z6JOuAneh88XJI9UP80vyqM5pEvdXTk0ONDWBs3P9yIq2CuPKTaJZTJRXFQ91
RegwoavBsYm6h4i6fEHgNS+mI/nGbBQP+LFVRvVkdyw4shypPAfUda9uVNXnOqEVIPTkvlQm6SZr
tAbuiyM5B66WfsJT59XGl3zyp0dK4HL6AkA59LNTCuHlKqn9rULvHcRTdjbpcQd7b0ANh5wZQ+oq
NnrcQR2LDnVbbTwYwkVzzxR72MqAMt/nKLtqy8Xo59vOdGWpCZlEngSfiryAr9nS0+KxEHR0wJ0S
kwdj9WuCWpaljYbdNgpGwkesBo4RyZ2/i3KuzpSQAAOCWWxcJfKPKkPm7lqR4OBHkVREzvhEbpJe
4K0wR0W7qHvR0d2QsmD6BGShcGFRNJ4p5CjqMf880tdOQA3Ddye3c2j8J9miwmKMNoEWmhWCPogA
kdnsonBxAXG+7OzrBkVmszMQij4oeIwvPcso7o1iJF8xFkyKIbE8TKOzPGXKn3iV1KH1EOY0b1fa
ptkVpx3ldSFdfn3nFPQnVN1BgkbF1K/9riXh1pFVAdGXfpK9CpKwwgermirfjVVfny1FgCorL/9Y
AD0AAyJpGK5Q2vPf6aTkZ1wHq+GFrOjG2SHBHWu3K6OnTASA4t54Tt0gFk5CEkMFiic3fArqnAwy
ppPhE0dMOBMqWPRuIRDYB9tyuY2yH1Ce+zWjGbJpAEQREPQi0Wu2e9EhoMCv1M7nsGLwtdKlxa4X
W+yMGXOclmMZDwUIrcjOXT4XyQkSFH/ACBg03kIt4emWQySfCSJBrxpHA4EFLqBtkvQm3D+bwEfj
ehUNxRjt2g5P+bGTQzoTlJJ1r+j3gEahM2LWge4DNBnn22JfZFnXrCHQI6BfobniX4hgSZCbvOXm
A7qNRHDZjO3WalwyKueGdrDwaG5OnL8HdAP0hKGjGKCPJDcRody7CUhuvni7ouf3+bQbDI/ivIAL
vWqGBcSXjXH0NKq8C9bMoqEPi9Ee5j1HV/FicjIP1gBO67NnKvncwGkbVo07qQMAW1fcxhlFQu4s
+LXUSfEbIMZxnHVjYy5exU7BbWnOghcJcTQfREe+y9PbXxmw6caHQhOCu2YgyR/rSo+3zAD7cxUq
EqkJdGghnrZ4kfp1jstjvkecRlu6LpaPlDHr8kwybbZXHUnuhHO0aKtUzf8OdYrpIwjjFn9XTTsu
r6G1MDWmvemPBSuUnzXqIErT0ru0kcXXeXZ5IxG6Le+UZROOEbtGUO7rflioX1Y59Ygo82k9+Xk3
brqQAwsarfEOzOd0M2RaPmOnZQhs1j0yxSKpSCEMRSgvuoAehXTJkHRtowEJaDO560uEi2uCeGEW
mn50zkIdPvFhQjNciER3GJqZbRWqlc+d6Ntoh/pxIqgkdPbZGJQ7REWEWwyxy2m+az9nBppt7AR8
LYqwmO4DzyjXvo3IaWWrUXEzPIALj84hd1fmtUPOARC9dUcYobNxw4rEFB4Z5dxE8+8wWqH/uZEZ
TXKrqgNnS4WHsNBuEePGcSaO6Gp5vhpz85PyfVaQHgwuFyzH69FyxZYoJ5v+UodtDBexFUL7EvLo
TEv2UhEkyRq/Z4yqSlZ3xQAcDc0dcXQAKBP7Maxnf4fNWH8RfumcIsAHh2wIrNfC9d9chZO/Iw4r
u2iUl35xmml8wBitj7KsiARiyLBmXPsI7UA9USy2G/ROHSrDMOBoawGKtCejuLBob/H/TdXODNAR
V7E5f4EaiJrXIfPqDKLGR0WU+VqsMCw6z0T4tOeOgFFEV8yhaF2BPqD2cjfuOC5nyqnjKJhGs3/h
xg3jf1V+waySoCQLaGIh7mqQwXVTcEVb+s4qUQdAhbEY2QPKbK2LAn54c0s/DNG5GTI/AfY8D86w
aZtcXuJXrsmM7KObalCsJtpHoGUgGLaq6qMTj5jDu7Cd4/3Qp86FzIGyPUbSqZ+IPVX3QLlvEndo
7rQNsW2MW4u+leXfV34H2Bl5YXDdoFWD91TQ54ixtcX2OJ1FFDzMse196Blo72vChIA9j1Ud8v1g
eHoYFBGpuAAOkwwps6V907YIobxSJu4WLJ95MdYz+VtR05m3bVLX28kGCVdkysI15KhphbYCHjtx
rRUZ4FEyfopA+BZrS/Qucq2y7wGlN0VBjKYlii3H7nodTGb3YFd58JzaaFPYCslT7zPIdyUNpuPg
ERW8HpEETmzvZwLA+qvONj+NKmguJfOqDiTyJD2S0qLuAkFVthkYU9xrrHVnPWXWbW553VdCTtUn
HcZ18wLRuRhuIUlGMZ2FOT/GRV6tZaM+2nqObpPEijY5jrQVpeB0MXSQqgpm1/Ct1alvHeNaqc7b
tjbQjhVo8y/466aLZhGYEsJu32ZpNzwDqow2MVS9m1CG7jXdwtgnbY1Y9BUGD3kFxjy/NKPGrjbg
l4xbglTdjS/6ccvjAvEuvOkk27L6xEwKIVstH6NemqfcVE8dW+I2yXhPyQZ4tuz4mI1Ze2FoV3wc
x9hBmJJrRfxCaxEHAfC0jWnqOLQjL3tfwcCnCZz7NvZQE4Hxyq/lJC7GpBPcYUDHJxEEVMYSSDKb
n3HlCV4VE/l/OQaY3gvrQ5QJfxUXHqo/m7YdTWW6cVNRbCzOdayFKPYSYMrsFGE0L0JorMQeW/gO
/ZM54QuWzm0QC+8mCFV3XyvRs9GjBuR+EnhV80S+ekeIkMrdlezjR89sEM8g/SV1aZLrmDYnybdl
eZ9mxDjhcMiKnQ0MFNBBATtRmhPxph3+ipVuk+QGlIWzg5mkH0ylhrNunSW7mB8cEPldsgINh3Qi
tWnTleGt05nDXlZ9wv+0hTyjem3uEpdUgzVix3ELEwnfRzLW1qknEPU2TT1aO5F3RBZOqlTOTMds
C3yMoBafkj6hhUr2MVNoMu/iaYgfB5SxK7+dkEU1rXPyZDkdJjMm2AaL/475A58DwbcjfNYSAzr8
1x5PvM4TAre9sgNrNbnNDhoMu2OBD3LV+GWBjpEEJRly4wPBY/doff1dOzVRRsvVQkqZtemGECCo
+hHs1klZd0nkVe0K6BxEOh0Tuiq0oGWb6P48KVHvRtueEJ+znmIMIHBq7bPevGZN731l+DHCVfHc
+ZCEXfFZ+n5zCFUYbYultEIuq5CRarrJwirrNTMjD09MI7cZsPl10Af95SgtexPpgnyrgdDr3Pft
c56Vw9XcBtJ5ZH/DAV9BcBjWcOPKm6xLnXWbu8g0yyn27griAyGSG6FaYeekLKhG8XsOsiHehQRC
8QUyqQWhdufXxLHex0MxXVQ5CD5UluGEzDOIblvKgEsCuyUrr3bij345kA84O4xzgIc+x7AB7+YI
OzDDsWTX5L2+cFvXvWqqpFG0zhsDSK7bn5y66M6T1eh9UKXTjeV27UMylqdmbM4ymKdNE9rNdUmk
42dSmumedo06IVyJ9ioOnijUxh1N2s3gK3FLE7uA9TnkORw9IAjFiSxMMC9pOJObNAolszXTwzoD
ROLNd71jyt+nvCxIngrtYiAcGZmUQ/oD+RaIhvNeGeVnjbPoxggJijAY+IFRkqnb/x50khGVrnLi
Ab7FS8AodIxjNMEMwI91V1vFB+ksiRTVWzqFU5kv3RjKywmZ0QqgTdMf8zElphY+RL4N8izx70IM
m+aHtOSf1Ahzr4puaklQo0uzQ6HWd+X4YU5QtAtHBbF/A5KguWH3O3YlO+j4N1PO95NpptKuhxZz
IXnDrxCczr8/GOcUS4yizPrgMhLg0JFmlIk9eqz4W3flP6osll/0XX9OvF0IPCU7AuJO+70+IVAU
803BhYqEAR3n1BLTaNVQq/ExiJc2DThmxfVEPUpWwN9pPH6+OtP+gDygQJCxGi6i0u9vU9Ju8k1N
3qLKpP3gjRiT0ybVlBKFOtTEpsJS6nzqQWMsqeC/65bcfLvJ78Ut1nvLd4i2RNgmABbikKB7vnvI
I/Yg9IiK8ExL8tuHMe7FJdxx+6HKWk5QKGO4+UFoEEwxOJGVqaqeM0AV+wWilMn6m/n9e/kDyLAl
YImEWYRFAvntj08jhoWhUUWqg6+UOI4O7Qc3TeyHWfvta6isvxV2vFcmgG12IBzaSIhMIATvMQQI
tTWdzrY+VKUKL3CeEb3NbvySGx1YYKBkn0GGCnEFA6UHO4asJiJenHDD8jJzs4LtjtV8y8hLqOtS
DdZVaXizPCmbXIUh6cLtkOPAWYm5iqjVS699NWPTCeniiG6+tz0jAjo0YRFL+56zhczcF8hIY3eP
ic1tAXZYuAzXlUdv+dPMIRKdeTBxSo8jjIupE3MAJcYR/YvvoJspdPvKOlF9DeahunfIj1uCpFv+
ezQtElckCYMXMQdiY9kwTU7VzHxuZ1iW7S4kLbvdB3GNXY3/UJHJLS1vrxILf3NrBfXzWwOk9Brr
6r8Dj/8NDZDW4tLu+8/tzQ9p+7lm3lb9MPX49lN/9DcD7zfmHXBveHdxCH6PAgzt3wKU7GSNCWdR
LX2vV2fCwVKH0J1/Y9N95M/4t0aPeYVPh5EVkYWBv/AfGJV//D6DAOR4ipOQrxe/beEV/vh9prOa
5D2ChDPFO6OMEumaazHUmLWms9Mp2onfPaC/WNH+6oK+TYCDsJgFedayq3zXTs25a2nL0j07rh1s
rIGhMX4bJGRF0Bxi3f7x7v7HzePH9ePbDfrC43mFNJAxtv14vTDz5pYTqDj7deK9ZCEXcLLMemhd
el2/vrUfd4q3S/FR81m7SAJZrd7dmkpAnPa5Jc55ObovqZ8hO+lmVm0A+NZVN8/hk5/jkkFJM939
+tJ/cZffPBEM1+g1vOeBjU3OMN5Q4tzadBuqgApwZbgVlAPipP9OkvZuU3q7Ud5A/A10QMFVvm+J
T3XRlrg8BRm+HheCmkErbcxMqoCh8+kbVU4mkxMiclphWiVD+xEca5FspiI11qZd/TP52vIHeXTm
AQEscGykjO92JRTXUV/EkTgHo+B239pWppGn+//Pa3Hadx3yAS1enHcvFHmkZsF4T2DSGK2rXhjt
qw95767P7L8rPZYX5t+Fz7fbouRh0uGb0F7e731pJxUhAL04D1Hy9VsbzIbw9U9fHVwvjFCWZ2ix
Sr17a6HdCr+zC3Gec9qBWTBQTwQLGsWac/qFv76Y9aM95tstOTR8bPZDHuF7PFcQOdYw49Q+ZzZQ
kA1WArrdkUHb8a13FzS5+4IDki8putI7nXTOEWqK8zcV5V+8wfTuWPbM5asqEDf+uCpEoHyiyMvF
ecIscnJIuzDA+YWIDY2WN7QJKTHz3Ka20zPMJdJM+fLSc033rCDq8OuH8vOXl79hIbKSQkUkpvnu
jcqLkBjBXPLlZfpzx8hrXL21/gWMlO0/vxSlCFB0ug3OT9XUJANVK79xzqnL4w3fZh7E1rDUB0sz
+NcX+3GpZ/lG3kntDmmW4vXn11cmHcl7jTROkTYpgwxDyefKKeTz/NYCRowW/M27vBjKvvvGLJdE
wOovM0HeZuSs77Yzmc/oaCHvnswIZQ6zALqwrWoZApNIcZe2zLVxJs/TTRJk9gOZI8zrJ7BsvlGh
DKWvhBV7mem/rSDYgijP9GwzdYgSMiTxkqCV/PVDYjb549/Mxo+Zd8GOUFszBn1PV2TInYmpdMSp
LcxyZ85om+rUM3ax1eY98XqlnuJ1QRuwplObSe1tLX7ZLUpDBkj0b/kbaYOw9kYQ119J6O1eJ3K7
yKhPZr5XNridZGOqzBpWrjVyRLDiULw0STDdQcJUyIj4MYU44ujT8FQ0imzGHXbWPHeDD4QoFqA+
Mh4gcMtM3xDVZaith9nuCXKPgVAyjBrrYLUuv7r1sfduyjDx8nWh0sgh0Dt1SB2pGq4R8KTfaCZN
g352JQaBNA7QCJOxpOYNkcKSzxr/J6z+CDbnaaQnyyAxLtVGK6tKTjnS0Nc8K5pngMC2PIHg5iRG
J/HGsDuDeQ5HoPSTpUM+Mn92vDxfjXDzn4jV5t3rcu8lB8wyE6Bsuy/aCtvXb+cqbxjcl1Ln9mc5
R/aBQWFzpzz48PS1mzVh73ixGENgxRsJ08Gbpxl2GTRYz2JiVgMR3Vg7k+CJRmn0pIWd7iPHaV9V
SxiaUdvWAwIwnk9IR/yOtu/8ZKNdfpWh4HN6U5pYk2pfcyiCizSYY8ncRrRGA62If5Oa/4poRggq
UcVvKTNtocbguYne5OT5tstV7NQ72XpgBXWZqGw5/ZGOpn2fN1skdBpXZaVn/5QshYmR+dMN9vnw
wmRQcpfDbJloQhsGCUU4pK+atOGtobHnvvheztNEjCe7NcNvXa1RYfreSS7rpUHuT7tvxYDc12b6
3KwRRS+h5R37olcnfP9qM9bEWs2BdZUYZcFH6ZZMzqI6QGbGwGCZkb7lPFqVw7s8ZEb41NK95azT
YTMgX465txWwF3VYmaadLtiX0UW7jEglwZGXs18gk7PS0n2BneK+eAsyhSOwInTA1Za6j53ZPswz
XeKNHXviUzUM1UMwp/oSFE2xadDBWqvMKKxgh5hcndKiRllTLGPOtpiA6VRz3W/MNvIeAIGmoI09
hMUrElP0VcAB/lyKBFhsmYchjJbWWU+uIWhpzvohx3JBXxMjOe3lJfiOdxLOAC7R2w7sDA3WqC+/
1K7qvgZiJnXT9vsrgKHwD2ivI9Xpc1am9UzEw3Y0JX23ztDyI/pl1e5aV3ufkdGQy4in5IL0JRXv
aGb4oO96SUcXPeJ+qPv6ChuXBX5obpNPsWO49KU74P9eQjeq0tHZ0p3f7IN29J5BWy4+DTl/QodU
nxxR0oifRjF/olGVbwmanTleD3yMQeTCvMjH6lPG5KvbVAN9XXro/n4pRjm6Tk2LL1yVxrahBlw4
IuWOyD/Y0WgnVxUi2rs+b41jlTfymClM8trt9ZcItfw2MVIDs2ldfkzzgeAeXcH7qzAXZk2b0oNX
L/hU+X6ks7GJyIha94OydqWs+UWBcbWoq1n+nQjdb66Il9x4fuHUNMAb1B5QFtCOxPXyycvxgkoX
O4JjaXdTpQPS7AiQI5CQMNrQPU+OAU02fOQICeZaG1u7rPtHiZBBroeq3fULgLNKzM+F39YfwyK1
ic21pl1rRM6mL/g7QhKCbtmVwGHPLO8XnmhGQBsmn6gf29lFTfbPjdn1EoBCx0ttEIHXvegIxYCB
3BjubcuJYVsj+szO0JwpsBFcMPhmte1eY2WyINUzCgQNZxyJcjeETBl7xu5BP7lEPKbJBLe4bkxS
hPyIYbjtGvVzZInpBqmssfY1rayuDdmPg96NUA3YAm2JKpbfZk2y3YP2YwliNV48/ijdjIlzVNtm
lHDeMFsPgxR89fvEbQ5igoR0cK0coIfktV3XPuCVVV5UxbNdNzH1XNIDv0SQWi9ejxYPv5slgfyq
5SCIivShQhSIJLZVJsYvZTA28Rpen/sh9KLwqJKwPSBQhztUTXHarxBIJL+3Q/eSSdfZuoJkhjWE
lab9WMzwOu4hMiFbC+wkuBoAcq29AuNrMo7NIaMTtAO+S8RoGJf+CkrT+Di4qrzzYvnVLuaPE+6H
a4T53YF1FeKCHUKzEIzuXuMuiV/nNB3v497nk+Mbn22bIY9JVonhcgHMTBcHctH6JxAekBqnscCI
3NJQ0uu8b+PxQPaXeRZNrS+blgRBDzoKMW9l3lsrj0+BOCb6CU+IGyagWVZXXE703K7RQBTXuD77
uzINmrWqrfYzFOhiW3ez8zuw9OHceXJGIRLZqbdqAwd4TKKS1djPI4PlpmC5IIQEmEsgTnocfo+k
Md6PXZzfWn0PtyaN3U/56BExoxiCsFcuWXANXfyrEHjpJcJ452SEI1j2ZIjbFzsdJXhIh1hfWt9n
7IiEY/8Pe+e2nDYShOFXceUeFzqApIts1fqEz042TrLZG0oBRRoQEmgkJPH0+w1YDgKbZFe6SG0t
dwm41TQzPdPdf/9tpjAaAzIuBaXpiHHfhabrwxNhglS8CMLIeOxP59REIxqi5yIY3nbLbPU+DZjE
5yz9/EsWpovsvCulKa4LURS9UwafdmCdGub29L5fMCR44ASZvCTK7dxOrFX8EZSf7tD3DlQAklKr
OwVOaef3OSf8N225kHfZfL4cgAwpb8idzsKzuRMAxY41wosA5zaAJ1kTp3NuFp1Tf2kt3/v6Moc1
eDIEVcwA9OTLtEgh7S3D3m0hdNwodS/YBhcMeszP9FmSDZmdGut3qVWueiels4Dtxw4tE4eo5V6s
w8h84cCBz+Az37wyzQWw7LAPLiKzxB9ypi0+ZlopP9mAPM6XBUjU1aSg0ELbIXQZVE6hE5tY9HPk
lqACuQrG4Pc5h9IufXmQZYmQqUgQHi9XxCk0C1sJtc2heNC74L+6Sd5hdmtKK4UwFsaF3TESajPz
qEcjtcW4+VgXjhxkrN1vQ2YZfp7bRjrKe8yfz/vMFrvozvsZNEvwVtKSEocW9D02PUxwUy2AqQVQ
NV1a6fxbLyj8d3Iyo3l/JWR6beQFQyzjmKZ5Jt4uyhOTzDEUYFHy0IFl5Fzv9ofpmeOrCe+rsiio
ksVw6/dIv9qMOIA3pmNayz8DeOqBTvmryQPwD6sLv2oUPkROGMJgCkLhfdAx+NXIr2omGNU8LLJP
BZDzobmJYP8Hf/8I/M3oMVDZB3KhJTOMIr+eCV3/zTP+G5B3j+C/Tz5UYbr1Z6QnVLe8BaG98UzP
UcG/VbMyeECbM0+NfVUY0CoR2lUzYS3VnA+9oopn/0kitJ5rIRUJNJ0GSBDocESTYFVB+lZecpjl
GnQwi/w+m419GUKB83XLGi8kPjHWdmi694Cd0DQpjHA2L3iAPcFx0pGVOa5Y3gvnNJiNDz9qnRj6
njjiy5BYIbui02Hp9KgJ7mQUSlqTwh7XZEogIbE3V1NQYpDHncB/P130/pKTwrdHQLTttDvoznXZ
WVH57JUiugZ1v/BnY0DxNnwNVJsC+KEHw8TvDjgqM09w4RWz2yxhTKJ50+WkuQqlMxkmQMHp7qFU
Fw8fy0V6QYKndy3TCfNeIJ8XBBDDRZSe6gwTObGNhP4NfdlncglzdQ0HNEQ4WwTTD5Rz/WVCv2BE
7HmGEnQoiX6p06yU6dcJRbCPZRFmN+FwAZ0XLUhhfsEo8tCY3VjQZJz1CnjcbA2GwL9o4uoDAmI8
9AlJnuSUcib4d7NjzVc3k9QJOh9yAHFmdG4sfcZwwVY5naTFcGARuMpNavg/4zWevojq6DhfV0be
Z15S/uFJzllZlRfUu+su/Mf4333osKCjbcj5KM6iVGngi91B0+zcmhdaq7TW95CE0E2hJx97b98Y
znGPKqalKorrF4jvMKYFdvN2x6FNRbPBe5OQW782D9wy0WtGOPz9NtY8/JnaN3DHONQzDslEjNJt
vwoQDrz7zxhhR8SWEaxjAPekyTRnYwQKz9tG0DTnmJCETK25ITjfPPAXMoKmdVUzfCMr6HAIK5YK
uJqeXnUr2IociuIbbHbPS4UH/kJWICzdG9X+yoZ4dS2Y+jHABkqABhBg9drZEFbvmAMbnnDtaUNw
dP1aVjDgCOPAbrQWDMhUyIxTclVdJbx2dgRuwcBC8JlQsFUvbiI/a4WfWDDPXvY0EOF47V+FJ19y
w699oPIs++8/eZWr8ds3XG6eb0nrD6pr3+bZ393vb7Wlsl7uW29Wy3/7z5++4P6jX1Sq+s9L4SUu
LbzghXHO5ZOa9+4ML/176H51ZxSXN09WuvO7sDK/a/L2TU3Prd//B4LldEeuKuI1lpuIVVwnLKdC
yKpsLnjqRtKVlaS1KbinVv9+8eL+vBUOmeLUDRnuluz0Z21Ol6Zac1+ME3ccV1oqreHYw3U0lxxF
3igVo6x2KEKJyo5sKvzMC93cTbxKklKbgYktGLs6yI/ib0cYJ5t9rbfFgalqYRXS9p6IcX15bw7K
ppYZeDG9fHXJnApcjppKvsTiQlRy1svbWINhmgq+GrtBbQHCfaf6+xrLZahiFIv6jgTx38L6u4rG
zCCsW1n1RbagdJzviHVsYtSmtrjZ901gPrQWBKNZNpqWlaT1uuhj5eo//r3fu40zIffMzFCoFtbG
nSuimvdQbGot6HznklfcHTrLxIoWfsI7V0p3RLLUS9PamgYeYbZhEjEKhO/WQHK0jTotnAV3grNA
xmltZevELC1smDshaUyQYj6v+SZaIbstSY+zZFd0K4pDGrjjQxQAw2m+ce69r4m7c3sCPNNvRfTS
rZ9bZKRUFq6pg7r38qNLdzaXEK3WNibynRZ2j5J/7SXSKytdlaciLlPUv20of+cVYlQ7xhCuQt82
hH+h0aeS9KS3iicbi2Z+wctDfHSjr7X2gH2yaMQrBFtT/R8CUbe4yWppQew05EZSj2p0OEdacLIP
iefvZsqI2Jvr/M6LIgkvkLsTJgD+1FvQ+0cD1V/Haf9UiPPhh9OkWnnA/kIkI6HQaU0X4iPW96T0
ap7LALnYgmd89Ip6VPmURmmq82s0QA0tfYAOt6lkSDReYylpKPqzy7nDpIv61qSHxmxha372ZHr0
6SXlyde1sPgOtjc0Nczr5cKDkl/KND1nZPfzT1XS/aU/qyfX1CdGoecmv/0NAAD//w==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tx1">
                  <a:lumMod val="75000"/>
                  <a:lumOff val="25000"/>
                </a:schemeClr>
              </a:solidFill>
            </a:defRPr>
          </a:pPr>
          <a:endParaRPr lang="en-US" sz="900" b="1" i="0" u="none" strike="noStrike" baseline="0">
            <a:solidFill>
              <a:schemeClr val="tx1">
                <a:lumMod val="75000"/>
                <a:lumOff val="25000"/>
              </a:schemeClr>
            </a:solidFill>
            <a:latin typeface="Aptos Narrow" panose="02110004020202020204"/>
          </a:endParaRPr>
        </a:p>
      </cx:txPr>
    </cx:legend>
  </cx:chart>
  <cx:spPr>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15874</xdr:colOff>
      <xdr:row>0</xdr:row>
      <xdr:rowOff>127000</xdr:rowOff>
    </xdr:from>
    <xdr:to>
      <xdr:col>34</xdr:col>
      <xdr:colOff>539749</xdr:colOff>
      <xdr:row>9</xdr:row>
      <xdr:rowOff>31750</xdr:rowOff>
    </xdr:to>
    <xdr:sp macro="" textlink="">
      <xdr:nvSpPr>
        <xdr:cNvPr id="5" name="Rectangle: Rounded Corners 4">
          <a:extLst>
            <a:ext uri="{FF2B5EF4-FFF2-40B4-BE49-F238E27FC236}">
              <a16:creationId xmlns:a16="http://schemas.microsoft.com/office/drawing/2014/main" id="{E0F5BFC8-802F-02D5-B840-9513393C4C29}"/>
            </a:ext>
          </a:extLst>
        </xdr:cNvPr>
        <xdr:cNvSpPr/>
      </xdr:nvSpPr>
      <xdr:spPr>
        <a:xfrm>
          <a:off x="2428874" y="127000"/>
          <a:ext cx="18621375" cy="1619250"/>
        </a:xfrm>
        <a:prstGeom prst="roundRect">
          <a:avLst/>
        </a:prstGeom>
        <a:solidFill>
          <a:schemeClr val="tx1">
            <a:lumMod val="65000"/>
            <a:lumOff val="3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a:solidFill>
                <a:schemeClr val="bg1"/>
              </a:solidFill>
              <a:latin typeface="Copperplate Gothic Bold" panose="020E0705020206020404" pitchFamily="34" charset="0"/>
            </a:rPr>
            <a:t>EMPLYOEE</a:t>
          </a:r>
          <a:r>
            <a:rPr lang="en-IN" sz="6000" baseline="0">
              <a:solidFill>
                <a:schemeClr val="bg1"/>
              </a:solidFill>
              <a:latin typeface="Copperplate Gothic Bold" panose="020E0705020206020404" pitchFamily="34" charset="0"/>
            </a:rPr>
            <a:t> PERFORMANCE DASHBOARD</a:t>
          </a:r>
          <a:endParaRPr lang="en-IN" sz="6000">
            <a:solidFill>
              <a:schemeClr val="bg1"/>
            </a:solidFill>
            <a:latin typeface="Copperplate Gothic Bold" panose="020E0705020206020404" pitchFamily="34" charset="0"/>
          </a:endParaRPr>
        </a:p>
      </xdr:txBody>
    </xdr:sp>
    <xdr:clientData/>
  </xdr:twoCellAnchor>
  <xdr:twoCellAnchor>
    <xdr:from>
      <xdr:col>5</xdr:col>
      <xdr:colOff>492124</xdr:colOff>
      <xdr:row>11</xdr:row>
      <xdr:rowOff>11076</xdr:rowOff>
    </xdr:from>
    <xdr:to>
      <xdr:col>10</xdr:col>
      <xdr:colOff>503621</xdr:colOff>
      <xdr:row>16</xdr:row>
      <xdr:rowOff>143092</xdr:rowOff>
    </xdr:to>
    <xdr:sp macro="" textlink="">
      <xdr:nvSpPr>
        <xdr:cNvPr id="6" name="Rectangle: Rounded Corners 5">
          <a:extLst>
            <a:ext uri="{FF2B5EF4-FFF2-40B4-BE49-F238E27FC236}">
              <a16:creationId xmlns:a16="http://schemas.microsoft.com/office/drawing/2014/main" id="{01FAB5C7-C5F4-BFD9-4FBC-1E5BB87DB8FD}"/>
            </a:ext>
          </a:extLst>
        </xdr:cNvPr>
        <xdr:cNvSpPr/>
      </xdr:nvSpPr>
      <xdr:spPr>
        <a:xfrm>
          <a:off x="3537909" y="2082210"/>
          <a:ext cx="3057282" cy="1206347"/>
        </a:xfrm>
        <a:prstGeom prst="roundRect">
          <a:avLst/>
        </a:prstGeom>
        <a:solidFill>
          <a:schemeClr val="bg1"/>
        </a:solidFill>
        <a:ln>
          <a:solidFill>
            <a:schemeClr val="bg1"/>
          </a:solid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b="1">
              <a:solidFill>
                <a:schemeClr val="tx1">
                  <a:lumMod val="75000"/>
                  <a:lumOff val="25000"/>
                </a:schemeClr>
              </a:solidFill>
              <a:latin typeface="Copperplate Gothic Bold" panose="020E0705020206020404" pitchFamily="34" charset="0"/>
            </a:rPr>
            <a:t>Employee Count</a:t>
          </a:r>
        </a:p>
      </xdr:txBody>
    </xdr:sp>
    <xdr:clientData/>
  </xdr:twoCellAnchor>
  <xdr:twoCellAnchor>
    <xdr:from>
      <xdr:col>0</xdr:col>
      <xdr:colOff>0</xdr:colOff>
      <xdr:row>7</xdr:row>
      <xdr:rowOff>44303</xdr:rowOff>
    </xdr:from>
    <xdr:to>
      <xdr:col>3</xdr:col>
      <xdr:colOff>444500</xdr:colOff>
      <xdr:row>39</xdr:row>
      <xdr:rowOff>22152</xdr:rowOff>
    </xdr:to>
    <xdr:sp macro="" textlink="">
      <xdr:nvSpPr>
        <xdr:cNvPr id="7" name="Rectangle: Rounded Corners 6">
          <a:extLst>
            <a:ext uri="{FF2B5EF4-FFF2-40B4-BE49-F238E27FC236}">
              <a16:creationId xmlns:a16="http://schemas.microsoft.com/office/drawing/2014/main" id="{0B3E2E77-BAF3-A110-6092-552D6C20C295}"/>
            </a:ext>
          </a:extLst>
        </xdr:cNvPr>
        <xdr:cNvSpPr/>
      </xdr:nvSpPr>
      <xdr:spPr>
        <a:xfrm rot="5400000">
          <a:off x="-1931950" y="3294247"/>
          <a:ext cx="6135872" cy="2271971"/>
        </a:xfrm>
        <a:prstGeom prst="roundRect">
          <a:avLst/>
        </a:prstGeom>
        <a:solidFill>
          <a:schemeClr val="bg1">
            <a:lumMod val="50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11</xdr:row>
      <xdr:rowOff>44302</xdr:rowOff>
    </xdr:from>
    <xdr:to>
      <xdr:col>21</xdr:col>
      <xdr:colOff>494448</xdr:colOff>
      <xdr:row>17</xdr:row>
      <xdr:rowOff>47625</xdr:rowOff>
    </xdr:to>
    <xdr:sp macro="" textlink="">
      <xdr:nvSpPr>
        <xdr:cNvPr id="9" name="Rectangle: Rounded Corners 8">
          <a:extLst>
            <a:ext uri="{FF2B5EF4-FFF2-40B4-BE49-F238E27FC236}">
              <a16:creationId xmlns:a16="http://schemas.microsoft.com/office/drawing/2014/main" id="{4AC2BE6C-990D-42FE-BDAA-978B45C62B67}"/>
            </a:ext>
          </a:extLst>
        </xdr:cNvPr>
        <xdr:cNvSpPr/>
      </xdr:nvSpPr>
      <xdr:spPr>
        <a:xfrm>
          <a:off x="10355669" y="2115436"/>
          <a:ext cx="2931076" cy="1265939"/>
        </a:xfrm>
        <a:prstGeom prst="roundRect">
          <a:avLst/>
        </a:prstGeom>
        <a:no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n>
                <a:noFill/>
              </a:ln>
              <a:solidFill>
                <a:schemeClr val="tx1">
                  <a:lumMod val="75000"/>
                  <a:lumOff val="25000"/>
                </a:schemeClr>
              </a:solidFill>
              <a:effectLst/>
              <a:latin typeface="Copperplate Gothic Bold" panose="020E0705020206020404" pitchFamily="34" charset="0"/>
            </a:rPr>
            <a:t>Goal Achievement</a:t>
          </a:r>
        </a:p>
      </xdr:txBody>
    </xdr:sp>
    <xdr:clientData/>
  </xdr:twoCellAnchor>
  <xdr:twoCellAnchor>
    <xdr:from>
      <xdr:col>22</xdr:col>
      <xdr:colOff>358775</xdr:colOff>
      <xdr:row>10</xdr:row>
      <xdr:rowOff>104775</xdr:rowOff>
    </xdr:from>
    <xdr:to>
      <xdr:col>27</xdr:col>
      <xdr:colOff>249973</xdr:colOff>
      <xdr:row>17</xdr:row>
      <xdr:rowOff>41275</xdr:rowOff>
    </xdr:to>
    <xdr:sp macro="" textlink="">
      <xdr:nvSpPr>
        <xdr:cNvPr id="10" name="Rectangle: Rounded Corners 9">
          <a:extLst>
            <a:ext uri="{FF2B5EF4-FFF2-40B4-BE49-F238E27FC236}">
              <a16:creationId xmlns:a16="http://schemas.microsoft.com/office/drawing/2014/main" id="{315DC725-731F-4821-A120-7DB48E6085FF}"/>
            </a:ext>
          </a:extLst>
        </xdr:cNvPr>
        <xdr:cNvSpPr/>
      </xdr:nvSpPr>
      <xdr:spPr>
        <a:xfrm>
          <a:off x="13630275" y="2009775"/>
          <a:ext cx="2907448" cy="1397000"/>
        </a:xfrm>
        <a:prstGeom prst="roundRect">
          <a:avLst/>
        </a:prstGeom>
        <a:solidFill>
          <a:sysClr val="window" lastClr="FFFFFF"/>
        </a:solidFill>
        <a:ln>
          <a:solidFill>
            <a:schemeClr val="bg1"/>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lumMod val="75000"/>
                  <a:lumOff val="25000"/>
                </a:schemeClr>
              </a:solidFill>
              <a:latin typeface="Copperplate Gothic Bold" panose="020E0705020206020404" pitchFamily="34" charset="0"/>
            </a:rPr>
            <a:t>Quality  Rating</a:t>
          </a:r>
        </a:p>
      </xdr:txBody>
    </xdr:sp>
    <xdr:clientData/>
  </xdr:twoCellAnchor>
  <xdr:twoCellAnchor>
    <xdr:from>
      <xdr:col>28</xdr:col>
      <xdr:colOff>222250</xdr:colOff>
      <xdr:row>10</xdr:row>
      <xdr:rowOff>11075</xdr:rowOff>
    </xdr:from>
    <xdr:to>
      <xdr:col>33</xdr:col>
      <xdr:colOff>113448</xdr:colOff>
      <xdr:row>16</xdr:row>
      <xdr:rowOff>111125</xdr:rowOff>
    </xdr:to>
    <xdr:sp macro="" textlink="">
      <xdr:nvSpPr>
        <xdr:cNvPr id="11" name="Rectangle: Rounded Corners 10">
          <a:extLst>
            <a:ext uri="{FF2B5EF4-FFF2-40B4-BE49-F238E27FC236}">
              <a16:creationId xmlns:a16="http://schemas.microsoft.com/office/drawing/2014/main" id="{56B35C6D-F408-4EF8-A223-797C2BEB5C26}"/>
            </a:ext>
          </a:extLst>
        </xdr:cNvPr>
        <xdr:cNvSpPr/>
      </xdr:nvSpPr>
      <xdr:spPr>
        <a:xfrm>
          <a:off x="17278645" y="1893924"/>
          <a:ext cx="2936983" cy="1362666"/>
        </a:xfrm>
        <a:prstGeom prst="roundRect">
          <a:avLst/>
        </a:prstGeom>
        <a:solidFill>
          <a:sysClr val="window" lastClr="FFFFFF"/>
        </a:solidFill>
        <a:ln>
          <a:solidFill>
            <a:schemeClr val="bg1"/>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lumMod val="75000"/>
                  <a:lumOff val="25000"/>
                </a:schemeClr>
              </a:solidFill>
              <a:latin typeface="Copperplate Gothic Bold" panose="020E0705020206020404" pitchFamily="34" charset="0"/>
            </a:rPr>
            <a:t>competed Task</a:t>
          </a:r>
        </a:p>
      </xdr:txBody>
    </xdr:sp>
    <xdr:clientData/>
  </xdr:twoCellAnchor>
  <xdr:twoCellAnchor>
    <xdr:from>
      <xdr:col>11</xdr:col>
      <xdr:colOff>269875</xdr:colOff>
      <xdr:row>11</xdr:row>
      <xdr:rowOff>33227</xdr:rowOff>
    </xdr:from>
    <xdr:to>
      <xdr:col>16</xdr:col>
      <xdr:colOff>161073</xdr:colOff>
      <xdr:row>16</xdr:row>
      <xdr:rowOff>177210</xdr:rowOff>
    </xdr:to>
    <xdr:sp macro="" textlink="">
      <xdr:nvSpPr>
        <xdr:cNvPr id="14" name="Rectangle: Rounded Corners 13">
          <a:extLst>
            <a:ext uri="{FF2B5EF4-FFF2-40B4-BE49-F238E27FC236}">
              <a16:creationId xmlns:a16="http://schemas.microsoft.com/office/drawing/2014/main" id="{EF2143F1-E8D2-46E0-A511-CCAEC5CE04DA}"/>
            </a:ext>
          </a:extLst>
        </xdr:cNvPr>
        <xdr:cNvSpPr/>
      </xdr:nvSpPr>
      <xdr:spPr>
        <a:xfrm>
          <a:off x="6970602" y="2104361"/>
          <a:ext cx="2936983" cy="1218314"/>
        </a:xfrm>
        <a:prstGeom prst="roundRect">
          <a:avLst/>
        </a:prstGeom>
        <a:solidFill>
          <a:sysClr val="window" lastClr="FFFFFF"/>
        </a:solidFill>
        <a:ln>
          <a:solidFill>
            <a:schemeClr val="bg1"/>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lumMod val="75000"/>
                  <a:lumOff val="25000"/>
                </a:schemeClr>
              </a:solidFill>
              <a:latin typeface="Copperplate Gothic Bold" panose="020E0705020206020404" pitchFamily="34" charset="0"/>
            </a:rPr>
            <a:t>Productivity Rate </a:t>
          </a:r>
          <a:endParaRPr lang="en-IN" sz="2000" b="1">
            <a:solidFill>
              <a:schemeClr val="tx1">
                <a:lumMod val="75000"/>
                <a:lumOff val="25000"/>
              </a:schemeClr>
            </a:solidFill>
            <a:effectLst/>
            <a:latin typeface="Copperplate Gothic Bold" panose="020E0705020206020404" pitchFamily="34" charset="0"/>
          </a:endParaRPr>
        </a:p>
      </xdr:txBody>
    </xdr:sp>
    <xdr:clientData/>
  </xdr:twoCellAnchor>
  <xdr:twoCellAnchor>
    <xdr:from>
      <xdr:col>12</xdr:col>
      <xdr:colOff>444500</xdr:colOff>
      <xdr:row>13</xdr:row>
      <xdr:rowOff>21044</xdr:rowOff>
    </xdr:from>
    <xdr:to>
      <xdr:col>15</xdr:col>
      <xdr:colOff>400050</xdr:colOff>
      <xdr:row>16</xdr:row>
      <xdr:rowOff>53341</xdr:rowOff>
    </xdr:to>
    <xdr:sp macro="" textlink="KPI!B3">
      <xdr:nvSpPr>
        <xdr:cNvPr id="17" name="TextBox 16">
          <a:extLst>
            <a:ext uri="{FF2B5EF4-FFF2-40B4-BE49-F238E27FC236}">
              <a16:creationId xmlns:a16="http://schemas.microsoft.com/office/drawing/2014/main" id="{11360896-0BC3-315C-7990-D689481ED5CD}"/>
            </a:ext>
          </a:extLst>
        </xdr:cNvPr>
        <xdr:cNvSpPr txBox="1"/>
      </xdr:nvSpPr>
      <xdr:spPr>
        <a:xfrm>
          <a:off x="7754384" y="2601654"/>
          <a:ext cx="1783021" cy="597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E38C99-BACC-4F5C-864F-02C3F5B5DB15}" type="TxLink">
            <a:rPr lang="en-US" sz="3600" b="1" i="0" u="none" strike="noStrike">
              <a:solidFill>
                <a:srgbClr val="FF0000"/>
              </a:solidFill>
              <a:latin typeface="Copperplate Gothic Bold" panose="020E0705020206020404" pitchFamily="34" charset="0"/>
            </a:rPr>
            <a:pPr/>
            <a:t>91.1%</a:t>
          </a:fld>
          <a:endParaRPr lang="en-IN" sz="3600" b="1">
            <a:solidFill>
              <a:srgbClr val="FF0000"/>
            </a:solidFill>
            <a:latin typeface="Copperplate Gothic Bold" panose="020E0705020206020404" pitchFamily="34" charset="0"/>
          </a:endParaRPr>
        </a:p>
      </xdr:txBody>
    </xdr:sp>
    <xdr:clientData/>
  </xdr:twoCellAnchor>
  <xdr:twoCellAnchor>
    <xdr:from>
      <xdr:col>18</xdr:col>
      <xdr:colOff>15876</xdr:colOff>
      <xdr:row>13</xdr:row>
      <xdr:rowOff>174625</xdr:rowOff>
    </xdr:from>
    <xdr:to>
      <xdr:col>21</xdr:col>
      <xdr:colOff>95250</xdr:colOff>
      <xdr:row>16</xdr:row>
      <xdr:rowOff>142875</xdr:rowOff>
    </xdr:to>
    <xdr:sp macro="" textlink="KPI!B4">
      <xdr:nvSpPr>
        <xdr:cNvPr id="18" name="TextBox 17">
          <a:extLst>
            <a:ext uri="{FF2B5EF4-FFF2-40B4-BE49-F238E27FC236}">
              <a16:creationId xmlns:a16="http://schemas.microsoft.com/office/drawing/2014/main" id="{FA8310F5-4AAC-6B9E-7ECE-C1BF4691FA80}"/>
            </a:ext>
          </a:extLst>
        </xdr:cNvPr>
        <xdr:cNvSpPr txBox="1"/>
      </xdr:nvSpPr>
      <xdr:spPr>
        <a:xfrm>
          <a:off x="10988676" y="2784475"/>
          <a:ext cx="1908174" cy="539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8EEC06-0E7C-4502-9F6E-FFDC7499B8BD}" type="TxLink">
            <a:rPr lang="en-US" sz="3600" b="1" i="0" u="none" strike="noStrike">
              <a:solidFill>
                <a:srgbClr val="FF0000"/>
              </a:solidFill>
              <a:latin typeface="Copperplate Gothic Bold" panose="020E0705020206020404" pitchFamily="34" charset="0"/>
            </a:rPr>
            <a:pPr/>
            <a:t>89.9%</a:t>
          </a:fld>
          <a:endParaRPr lang="en-IN" sz="3600" b="1">
            <a:solidFill>
              <a:srgbClr val="FF0000"/>
            </a:solidFill>
            <a:latin typeface="Copperplate Gothic Bold" panose="020E0705020206020404" pitchFamily="34" charset="0"/>
          </a:endParaRPr>
        </a:p>
      </xdr:txBody>
    </xdr:sp>
    <xdr:clientData/>
  </xdr:twoCellAnchor>
  <xdr:twoCellAnchor>
    <xdr:from>
      <xdr:col>23</xdr:col>
      <xdr:colOff>427148</xdr:colOff>
      <xdr:row>13</xdr:row>
      <xdr:rowOff>62023</xdr:rowOff>
    </xdr:from>
    <xdr:to>
      <xdr:col>26</xdr:col>
      <xdr:colOff>519223</xdr:colOff>
      <xdr:row>16</xdr:row>
      <xdr:rowOff>77899</xdr:rowOff>
    </xdr:to>
    <xdr:sp macro="" textlink="KPI!B6">
      <xdr:nvSpPr>
        <xdr:cNvPr id="19" name="TextBox 18">
          <a:extLst>
            <a:ext uri="{FF2B5EF4-FFF2-40B4-BE49-F238E27FC236}">
              <a16:creationId xmlns:a16="http://schemas.microsoft.com/office/drawing/2014/main" id="{4FBFD940-4E34-89A2-278F-9B2BF8F4DAC6}"/>
            </a:ext>
          </a:extLst>
        </xdr:cNvPr>
        <xdr:cNvSpPr txBox="1"/>
      </xdr:nvSpPr>
      <xdr:spPr>
        <a:xfrm>
          <a:off x="14437758" y="2642633"/>
          <a:ext cx="1919546" cy="58073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58B6AC-81E1-4C9F-AAC9-EEE84E6F6C5A}" type="TxLink">
            <a:rPr lang="en-US" sz="3600" b="0" i="0" u="none" strike="noStrike">
              <a:solidFill>
                <a:srgbClr val="FF0000"/>
              </a:solidFill>
              <a:latin typeface="Copperplate Gothic Bold" panose="020E0705020206020404" pitchFamily="34" charset="0"/>
            </a:rPr>
            <a:pPr/>
            <a:t>88.0%</a:t>
          </a:fld>
          <a:endParaRPr lang="en-IN" sz="3600">
            <a:solidFill>
              <a:srgbClr val="FF0000"/>
            </a:solidFill>
            <a:latin typeface="Copperplate Gothic Bold" panose="020E0705020206020404" pitchFamily="34" charset="0"/>
          </a:endParaRPr>
        </a:p>
      </xdr:txBody>
    </xdr:sp>
    <xdr:clientData/>
  </xdr:twoCellAnchor>
  <xdr:twoCellAnchor>
    <xdr:from>
      <xdr:col>29</xdr:col>
      <xdr:colOff>376200</xdr:colOff>
      <xdr:row>12</xdr:row>
      <xdr:rowOff>109278</xdr:rowOff>
    </xdr:from>
    <xdr:to>
      <xdr:col>32</xdr:col>
      <xdr:colOff>163476</xdr:colOff>
      <xdr:row>15</xdr:row>
      <xdr:rowOff>77529</xdr:rowOff>
    </xdr:to>
    <xdr:sp macro="" textlink="KPI!B5">
      <xdr:nvSpPr>
        <xdr:cNvPr id="20" name="TextBox 19">
          <a:extLst>
            <a:ext uri="{FF2B5EF4-FFF2-40B4-BE49-F238E27FC236}">
              <a16:creationId xmlns:a16="http://schemas.microsoft.com/office/drawing/2014/main" id="{F55C32CD-AA7A-5B56-0D06-940BFA9B309D}"/>
            </a:ext>
          </a:extLst>
        </xdr:cNvPr>
        <xdr:cNvSpPr txBox="1"/>
      </xdr:nvSpPr>
      <xdr:spPr>
        <a:xfrm>
          <a:off x="18041752" y="2501604"/>
          <a:ext cx="1614747" cy="5331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6387E4-4B18-42C7-BD3D-8DD5EED4018F}" type="TxLink">
            <a:rPr lang="en-US" sz="3600" b="0" i="0" u="none" strike="noStrike">
              <a:solidFill>
                <a:srgbClr val="FF0000"/>
              </a:solidFill>
              <a:latin typeface="Copperplate Gothic Bold" panose="020E0705020206020404" pitchFamily="34" charset="0"/>
            </a:rPr>
            <a:pPr/>
            <a:t>2343</a:t>
          </a:fld>
          <a:endParaRPr lang="en-IN" sz="3600">
            <a:solidFill>
              <a:srgbClr val="FF0000"/>
            </a:solidFill>
            <a:latin typeface="Copperplate Gothic Bold" panose="020E0705020206020404" pitchFamily="34" charset="0"/>
          </a:endParaRPr>
        </a:p>
      </xdr:txBody>
    </xdr:sp>
    <xdr:clientData/>
  </xdr:twoCellAnchor>
  <xdr:twoCellAnchor>
    <xdr:from>
      <xdr:col>7</xdr:col>
      <xdr:colOff>285381</xdr:colOff>
      <xdr:row>13</xdr:row>
      <xdr:rowOff>85651</xdr:rowOff>
    </xdr:from>
    <xdr:to>
      <xdr:col>9</xdr:col>
      <xdr:colOff>491756</xdr:colOff>
      <xdr:row>15</xdr:row>
      <xdr:rowOff>165027</xdr:rowOff>
    </xdr:to>
    <xdr:sp macro="" textlink="KPI!B2">
      <xdr:nvSpPr>
        <xdr:cNvPr id="21" name="TextBox 20">
          <a:extLst>
            <a:ext uri="{FF2B5EF4-FFF2-40B4-BE49-F238E27FC236}">
              <a16:creationId xmlns:a16="http://schemas.microsoft.com/office/drawing/2014/main" id="{42CEC3BD-D984-A5CD-54DB-7548B9EBF7A5}"/>
            </a:ext>
          </a:extLst>
        </xdr:cNvPr>
        <xdr:cNvSpPr txBox="1"/>
      </xdr:nvSpPr>
      <xdr:spPr>
        <a:xfrm>
          <a:off x="4549480" y="2666261"/>
          <a:ext cx="1424689" cy="45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63741F-9FF1-477C-A395-A7227E5F172B}" type="TxLink">
            <a:rPr lang="en-US" sz="3600" b="1" i="0" u="none" strike="noStrike">
              <a:solidFill>
                <a:srgbClr val="FF0000"/>
              </a:solidFill>
              <a:latin typeface="Copperplate Gothic Bold" panose="020E0705020206020404" pitchFamily="34" charset="0"/>
            </a:rPr>
            <a:pPr/>
            <a:t>180</a:t>
          </a:fld>
          <a:endParaRPr lang="en-IN" sz="3600" b="1">
            <a:solidFill>
              <a:srgbClr val="FF0000"/>
            </a:solidFill>
            <a:latin typeface="Copperplate Gothic Bold" panose="020E0705020206020404" pitchFamily="34" charset="0"/>
          </a:endParaRPr>
        </a:p>
      </xdr:txBody>
    </xdr:sp>
    <xdr:clientData/>
  </xdr:twoCellAnchor>
  <xdr:twoCellAnchor>
    <xdr:from>
      <xdr:col>4</xdr:col>
      <xdr:colOff>247649</xdr:colOff>
      <xdr:row>19</xdr:row>
      <xdr:rowOff>3174</xdr:rowOff>
    </xdr:from>
    <xdr:to>
      <xdr:col>13</xdr:col>
      <xdr:colOff>269249</xdr:colOff>
      <xdr:row>37</xdr:row>
      <xdr:rowOff>138174</xdr:rowOff>
    </xdr:to>
    <xdr:graphicFrame macro="">
      <xdr:nvGraphicFramePr>
        <xdr:cNvPr id="24" name="Chart 23">
          <a:extLst>
            <a:ext uri="{FF2B5EF4-FFF2-40B4-BE49-F238E27FC236}">
              <a16:creationId xmlns:a16="http://schemas.microsoft.com/office/drawing/2014/main" id="{8C0C305D-38FA-46E9-8AFC-3A1382C4F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99409</xdr:colOff>
      <xdr:row>18</xdr:row>
      <xdr:rowOff>158092</xdr:rowOff>
    </xdr:from>
    <xdr:to>
      <xdr:col>23</xdr:col>
      <xdr:colOff>121009</xdr:colOff>
      <xdr:row>37</xdr:row>
      <xdr:rowOff>102592</xdr:rowOff>
    </xdr:to>
    <xdr:graphicFrame macro="">
      <xdr:nvGraphicFramePr>
        <xdr:cNvPr id="25" name="Chart 24">
          <a:extLst>
            <a:ext uri="{FF2B5EF4-FFF2-40B4-BE49-F238E27FC236}">
              <a16:creationId xmlns:a16="http://schemas.microsoft.com/office/drawing/2014/main" id="{CB594705-3BB5-44E6-8A32-6AB3B9D3C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568872</xdr:colOff>
      <xdr:row>18</xdr:row>
      <xdr:rowOff>180426</xdr:rowOff>
    </xdr:from>
    <xdr:to>
      <xdr:col>33</xdr:col>
      <xdr:colOff>95250</xdr:colOff>
      <xdr:row>37</xdr:row>
      <xdr:rowOff>57150</xdr:rowOff>
    </xdr:to>
    <xdr:graphicFrame macro="">
      <xdr:nvGraphicFramePr>
        <xdr:cNvPr id="26" name="Chart 25">
          <a:extLst>
            <a:ext uri="{FF2B5EF4-FFF2-40B4-BE49-F238E27FC236}">
              <a16:creationId xmlns:a16="http://schemas.microsoft.com/office/drawing/2014/main" id="{D7ECF9D0-0FDA-4725-BB36-AFAF3FD6D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69850</xdr:colOff>
      <xdr:row>39</xdr:row>
      <xdr:rowOff>136634</xdr:rowOff>
    </xdr:from>
    <xdr:to>
      <xdr:col>23</xdr:col>
      <xdr:colOff>266700</xdr:colOff>
      <xdr:row>58</xdr:row>
      <xdr:rowOff>114300</xdr:rowOff>
    </xdr:to>
    <xdr:graphicFrame macro="">
      <xdr:nvGraphicFramePr>
        <xdr:cNvPr id="30" name="Chart 29">
          <a:extLst>
            <a:ext uri="{FF2B5EF4-FFF2-40B4-BE49-F238E27FC236}">
              <a16:creationId xmlns:a16="http://schemas.microsoft.com/office/drawing/2014/main" id="{6EFF8130-D7AA-4942-AE61-555046916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114517</xdr:colOff>
      <xdr:row>39</xdr:row>
      <xdr:rowOff>112328</xdr:rowOff>
    </xdr:from>
    <xdr:to>
      <xdr:col>33</xdr:col>
      <xdr:colOff>136117</xdr:colOff>
      <xdr:row>58</xdr:row>
      <xdr:rowOff>56828</xdr:rowOff>
    </xdr:to>
    <xdr:graphicFrame macro="">
      <xdr:nvGraphicFramePr>
        <xdr:cNvPr id="31" name="Chart 30">
          <a:extLst>
            <a:ext uri="{FF2B5EF4-FFF2-40B4-BE49-F238E27FC236}">
              <a16:creationId xmlns:a16="http://schemas.microsoft.com/office/drawing/2014/main" id="{EA2EE9CB-C06C-4391-9688-0D55FD2DC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285750</xdr:colOff>
      <xdr:row>38</xdr:row>
      <xdr:rowOff>171450</xdr:rowOff>
    </xdr:from>
    <xdr:to>
      <xdr:col>13</xdr:col>
      <xdr:colOff>361950</xdr:colOff>
      <xdr:row>57</xdr:row>
      <xdr:rowOff>95250</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EC271647-C53D-4FFD-AF0A-27224C6E4F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724150" y="7543800"/>
              <a:ext cx="5562600" cy="3543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243662</xdr:colOff>
      <xdr:row>8</xdr:row>
      <xdr:rowOff>11078</xdr:rowOff>
    </xdr:from>
    <xdr:to>
      <xdr:col>3</xdr:col>
      <xdr:colOff>243662</xdr:colOff>
      <xdr:row>15</xdr:row>
      <xdr:rowOff>66454</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4C3FBDE4-EF9A-4C2B-AEBD-2FEC596F53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3662" y="1517357"/>
              <a:ext cx="1827471" cy="1506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196703</xdr:colOff>
      <xdr:row>25</xdr:row>
      <xdr:rowOff>16393</xdr:rowOff>
    </xdr:from>
    <xdr:to>
      <xdr:col>3</xdr:col>
      <xdr:colOff>196703</xdr:colOff>
      <xdr:row>36</xdr:row>
      <xdr:rowOff>33226</xdr:rowOff>
    </xdr:to>
    <mc:AlternateContent xmlns:mc="http://schemas.openxmlformats.org/markup-compatibility/2006" xmlns:a14="http://schemas.microsoft.com/office/drawing/2010/main">
      <mc:Choice Requires="a14">
        <xdr:graphicFrame macro="">
          <xdr:nvGraphicFramePr>
            <xdr:cNvPr id="34" name="Department">
              <a:extLst>
                <a:ext uri="{FF2B5EF4-FFF2-40B4-BE49-F238E27FC236}">
                  <a16:creationId xmlns:a16="http://schemas.microsoft.com/office/drawing/2014/main" id="{51C1AB32-FF09-439E-8982-2E68DB94ACE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6703" y="4856422"/>
              <a:ext cx="1827471" cy="2087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237018</xdr:colOff>
      <xdr:row>16</xdr:row>
      <xdr:rowOff>85949</xdr:rowOff>
    </xdr:from>
    <xdr:to>
      <xdr:col>3</xdr:col>
      <xdr:colOff>237018</xdr:colOff>
      <xdr:row>23</xdr:row>
      <xdr:rowOff>11076</xdr:rowOff>
    </xdr:to>
    <mc:AlternateContent xmlns:mc="http://schemas.openxmlformats.org/markup-compatibility/2006" xmlns:a14="http://schemas.microsoft.com/office/drawing/2010/main">
      <mc:Choice Requires="a14">
        <xdr:graphicFrame macro="">
          <xdr:nvGraphicFramePr>
            <xdr:cNvPr id="36" name="Performance Status">
              <a:extLst>
                <a:ext uri="{FF2B5EF4-FFF2-40B4-BE49-F238E27FC236}">
                  <a16:creationId xmlns:a16="http://schemas.microsoft.com/office/drawing/2014/main" id="{30D28604-C711-400F-88A2-0BCE81833346}"/>
                </a:ext>
              </a:extLst>
            </xdr:cNvPr>
            <xdr:cNvGraphicFramePr/>
          </xdr:nvGraphicFramePr>
          <xdr:xfrm>
            <a:off x="0" y="0"/>
            <a:ext cx="0" cy="0"/>
          </xdr:xfrm>
          <a:graphic>
            <a:graphicData uri="http://schemas.microsoft.com/office/drawing/2010/slicer">
              <sle:slicer xmlns:sle="http://schemas.microsoft.com/office/drawing/2010/slicer" name="Performance Status"/>
            </a:graphicData>
          </a:graphic>
        </xdr:graphicFrame>
      </mc:Choice>
      <mc:Fallback xmlns="">
        <xdr:sp macro="" textlink="">
          <xdr:nvSpPr>
            <xdr:cNvPr id="0" name=""/>
            <xdr:cNvSpPr>
              <a:spLocks noTextEdit="1"/>
            </xdr:cNvSpPr>
          </xdr:nvSpPr>
          <xdr:spPr>
            <a:xfrm>
              <a:off x="237018" y="3231414"/>
              <a:ext cx="1827471" cy="1243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1.905229861113" createdVersion="8" refreshedVersion="8" minRefreshableVersion="3" recordCount="180" xr:uid="{B4966979-0ED4-40E3-B61A-F4CE42DDFD6D}">
  <cacheSource type="worksheet">
    <worksheetSource name="Table1"/>
  </cacheSource>
  <cacheFields count="18">
    <cacheField name="Date" numFmtId="15">
      <sharedItems containsSemiMixedTypes="0" containsNonDate="0" containsDate="1" containsString="0" minDate="2026-01-01T00:00:00" maxDate="2026-12-25T00:00:00"/>
    </cacheField>
    <cacheField name="Month" numFmtId="0">
      <sharedItems count="12">
        <s v="Jan"/>
        <s v="Feb"/>
        <s v="Mar"/>
        <s v="Apr"/>
        <s v="May"/>
        <s v="Jun"/>
        <s v="Jul"/>
        <s v="aug"/>
        <s v="sep"/>
        <s v="oct"/>
        <s v="nov"/>
        <s v="dec"/>
      </sharedItems>
    </cacheField>
    <cacheField name="Emp ID" numFmtId="0">
      <sharedItems/>
    </cacheField>
    <cacheField name="Employee Name" numFmtId="0">
      <sharedItems count="53">
        <s v="James Smith"/>
        <s v="Mary Johnson"/>
        <s v="Robert Williams"/>
        <s v="Jennifer Brown"/>
        <s v="Michael Jones"/>
        <s v="Linda Garcia"/>
        <s v="David Miller"/>
        <s v="Sarah Davis"/>
        <s v="John Rodriguez"/>
        <s v="Emily "/>
        <s v="Jessica Lopez"/>
        <s v="Christopher Wilson"/>
        <s v="Amanda Anderson"/>
        <s v="Matthew Taylor"/>
        <s v="Ashley Thomas"/>
        <s v="Andrew Moore"/>
        <s v="Olivia Jackson"/>
        <s v="Sophia Lee"/>
        <s v="Emily Martinez"/>
        <s v="Daniel Hernandez"/>
        <s v="Joshua Martin"/>
        <s v="Jaamrs Smith"/>
        <s v="Maary Johnson"/>
        <s v="Robrrt Williaams"/>
        <s v="Jrnnifrr Brown"/>
        <s v="Michaarl Jonrs"/>
        <s v="Lindaa Gaarciaa"/>
        <s v="Daavid Millrr"/>
        <s v="Saaraah Daavis"/>
        <s v="John Rodrigurz"/>
        <s v="rmily Maartinrz"/>
        <s v="Jrssicaa Loprz"/>
        <s v="Christophrr Wilson"/>
        <s v="aamaandaa aandrrson"/>
        <s v="Maatthrw Taaylor"/>
        <s v="aashlry Thomaas"/>
        <s v="aandrrw Moorr"/>
        <s v="Oliviaa Jaackson"/>
        <s v="Sophiaa Lrr"/>
        <s v="Daanirl Hrrnaandrz"/>
        <s v="Joshuaa"/>
        <s v=" Jonrs"/>
        <s v="Joshuaa Maartin"/>
        <s v=" Johnson"/>
        <s v=" Williaams"/>
        <s v=" Brown"/>
        <s v=" Millrr"/>
        <s v="Daavis"/>
        <s v="Rodrigurz"/>
        <s v="aamaanda"/>
        <s v="Maatthrw "/>
        <s v=" aandrrson"/>
        <s v="stephen"/>
      </sharedItems>
    </cacheField>
    <cacheField name="Department" numFmtId="0">
      <sharedItems count="6">
        <s v="Sales"/>
        <s v="Marketing"/>
        <s v="Finance"/>
        <s v="HR"/>
        <s v="Operations"/>
        <s v="IT"/>
      </sharedItems>
    </cacheField>
    <cacheField name="Region" numFmtId="0">
      <sharedItems count="4">
        <s v="California"/>
        <s v="Texas"/>
        <s v="Florida"/>
        <s v="New York"/>
      </sharedItems>
    </cacheField>
    <cacheField name="Working Days" numFmtId="0">
      <sharedItems containsSemiMixedTypes="0" containsString="0" containsNumber="1" containsInteger="1" minValue="20" maxValue="22"/>
    </cacheField>
    <cacheField name="Attendance Status" numFmtId="0">
      <sharedItems count="3">
        <s v="Present"/>
        <s v="Leave"/>
        <s v="Work From Home"/>
      </sharedItems>
    </cacheField>
    <cacheField name="Target Tasks" numFmtId="0">
      <sharedItems containsSemiMixedTypes="0" containsString="0" containsNumber="1" containsInteger="1" minValue="8" maxValue="20"/>
    </cacheField>
    <cacheField name="Completed Tasks" numFmtId="0">
      <sharedItems containsSemiMixedTypes="0" containsString="0" containsNumber="1" containsInteger="1" minValue="5" maxValue="23"/>
    </cacheField>
    <cacheField name="Pending Tasks" numFmtId="0">
      <sharedItems containsSemiMixedTypes="0" containsString="0" containsNumber="1" containsInteger="1" minValue="0" maxValue="70"/>
    </cacheField>
    <cacheField name="Target Hours" numFmtId="0">
      <sharedItems containsSemiMixedTypes="0" containsString="0" containsNumber="1" containsInteger="1" minValue="7" maxValue="9"/>
    </cacheField>
    <cacheField name="Actual Hours" numFmtId="0">
      <sharedItems containsSemiMixedTypes="0" containsString="0" containsNumber="1" minValue="5.0999999999999996" maxValue="11"/>
    </cacheField>
    <cacheField name="Overtime Hours" numFmtId="0">
      <sharedItems containsSemiMixedTypes="0" containsString="0" containsNumber="1" minValue="0" maxValue="2"/>
    </cacheField>
    <cacheField name="Productivity %" numFmtId="10">
      <sharedItems containsSemiMixedTypes="0" containsString="0" containsNumber="1" minValue="0.57399999999999995" maxValue="1"/>
    </cacheField>
    <cacheField name="Quality Score %" numFmtId="10">
      <sharedItems containsSemiMixedTypes="0" containsString="0" containsNumber="1" minValue="0.55400000000000005" maxValue="1"/>
    </cacheField>
    <cacheField name="Achievement %" numFmtId="10">
      <sharedItems containsSemiMixedTypes="0" containsString="0" containsNumber="1" minValue="0.60099999999999998" maxValue="1"/>
    </cacheField>
    <cacheField name="Performance Status" numFmtId="0">
      <sharedItems count="3">
        <s v="High Performer"/>
        <s v="On Track"/>
        <s v="Needs Improvement"/>
      </sharedItems>
    </cacheField>
  </cacheFields>
  <extLst>
    <ext xmlns:x14="http://schemas.microsoft.com/office/spreadsheetml/2009/9/main" uri="{725AE2AE-9491-48be-B2B4-4EB974FC3084}">
      <x14:pivotCacheDefinition pivotCacheId="11913463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d v="2026-01-01T00:00:00"/>
    <x v="0"/>
    <s v="EMP001"/>
    <x v="0"/>
    <x v="0"/>
    <x v="0"/>
    <n v="22"/>
    <x v="0"/>
    <n v="8"/>
    <n v="10"/>
    <n v="0"/>
    <n v="8"/>
    <n v="8.5"/>
    <n v="0.5"/>
    <n v="1"/>
    <n v="0.91100000000000003"/>
    <n v="0.96399999999999997"/>
    <x v="0"/>
  </r>
  <r>
    <d v="2026-01-03T00:00:00"/>
    <x v="0"/>
    <s v="EMP002"/>
    <x v="1"/>
    <x v="0"/>
    <x v="1"/>
    <n v="20"/>
    <x v="1"/>
    <n v="19"/>
    <n v="20"/>
    <n v="0"/>
    <n v="7"/>
    <n v="6.8"/>
    <n v="0"/>
    <n v="1"/>
    <n v="0.88700000000000001"/>
    <n v="0.95499999999999996"/>
    <x v="0"/>
  </r>
  <r>
    <d v="2026-01-05T00:00:00"/>
    <x v="0"/>
    <s v="EMP003"/>
    <x v="2"/>
    <x v="1"/>
    <x v="2"/>
    <n v="20"/>
    <x v="0"/>
    <n v="11"/>
    <n v="12"/>
    <n v="0"/>
    <n v="9"/>
    <n v="9.6999999999999993"/>
    <n v="0.7"/>
    <n v="1"/>
    <n v="0.92400000000000004"/>
    <n v="0.97"/>
    <x v="0"/>
  </r>
  <r>
    <d v="2026-01-07T00:00:00"/>
    <x v="0"/>
    <s v="EMP004"/>
    <x v="3"/>
    <x v="1"/>
    <x v="0"/>
    <n v="22"/>
    <x v="1"/>
    <n v="16"/>
    <n v="16"/>
    <n v="0"/>
    <n v="7"/>
    <n v="8.6999999999999993"/>
    <n v="1.7"/>
    <n v="0.99199999999999999"/>
    <n v="0.93300000000000005"/>
    <n v="0.96799999999999997"/>
    <x v="0"/>
  </r>
  <r>
    <d v="2026-01-09T00:00:00"/>
    <x v="0"/>
    <s v="EMP005"/>
    <x v="4"/>
    <x v="2"/>
    <x v="3"/>
    <n v="20"/>
    <x v="0"/>
    <n v="19"/>
    <n v="19"/>
    <n v="0"/>
    <n v="8"/>
    <n v="7.7"/>
    <n v="0"/>
    <n v="0.96399999999999997"/>
    <n v="0.89100000000000001"/>
    <n v="0.93500000000000005"/>
    <x v="0"/>
  </r>
  <r>
    <d v="2026-01-11T00:00:00"/>
    <x v="0"/>
    <s v="EMP006"/>
    <x v="5"/>
    <x v="2"/>
    <x v="1"/>
    <n v="21"/>
    <x v="0"/>
    <n v="9"/>
    <n v="9"/>
    <n v="10"/>
    <n v="7"/>
    <n v="6.7"/>
    <n v="0"/>
    <n v="0.97699999999999998"/>
    <n v="0.93300000000000005"/>
    <n v="0.95899999999999996"/>
    <x v="0"/>
  </r>
  <r>
    <d v="2026-01-13T00:00:00"/>
    <x v="0"/>
    <s v="EMP007"/>
    <x v="6"/>
    <x v="3"/>
    <x v="2"/>
    <n v="21"/>
    <x v="0"/>
    <n v="19"/>
    <n v="19"/>
    <n v="0"/>
    <n v="9"/>
    <n v="10.7"/>
    <n v="1.7"/>
    <n v="0.94"/>
    <n v="1"/>
    <n v="0.96399999999999997"/>
    <x v="0"/>
  </r>
  <r>
    <d v="2026-01-15T00:00:00"/>
    <x v="0"/>
    <s v="EMP008"/>
    <x v="7"/>
    <x v="3"/>
    <x v="0"/>
    <n v="20"/>
    <x v="2"/>
    <n v="12"/>
    <n v="15"/>
    <n v="0"/>
    <n v="9"/>
    <n v="9.8000000000000007"/>
    <n v="0.8"/>
    <n v="1"/>
    <n v="1"/>
    <n v="1"/>
    <x v="0"/>
  </r>
  <r>
    <d v="2026-01-17T00:00:00"/>
    <x v="0"/>
    <s v="EMP009"/>
    <x v="8"/>
    <x v="4"/>
    <x v="3"/>
    <n v="22"/>
    <x v="0"/>
    <n v="19"/>
    <n v="16"/>
    <n v="30"/>
    <n v="7"/>
    <n v="6.5"/>
    <n v="0"/>
    <n v="0.86799999999999999"/>
    <n v="0.91800000000000004"/>
    <n v="0.88800000000000001"/>
    <x v="1"/>
  </r>
  <r>
    <d v="2026-01-19T00:00:00"/>
    <x v="0"/>
    <s v="EMP010"/>
    <x v="9"/>
    <x v="4"/>
    <x v="2"/>
    <n v="20"/>
    <x v="0"/>
    <n v="9"/>
    <n v="9"/>
    <n v="40"/>
    <n v="8"/>
    <n v="8.6"/>
    <n v="0.6"/>
    <n v="0.99299999999999999"/>
    <n v="1"/>
    <n v="0.996"/>
    <x v="0"/>
  </r>
  <r>
    <d v="2026-01-23T00:00:00"/>
    <x v="0"/>
    <s v="EMP011"/>
    <x v="10"/>
    <x v="5"/>
    <x v="0"/>
    <n v="22"/>
    <x v="0"/>
    <n v="17"/>
    <n v="19"/>
    <n v="0"/>
    <n v="7"/>
    <n v="6.5"/>
    <n v="0"/>
    <n v="1"/>
    <n v="0.93400000000000005"/>
    <n v="0.97399999999999998"/>
    <x v="0"/>
  </r>
  <r>
    <d v="2026-01-25T00:00:00"/>
    <x v="0"/>
    <s v="EMP012"/>
    <x v="11"/>
    <x v="0"/>
    <x v="3"/>
    <n v="21"/>
    <x v="0"/>
    <n v="12"/>
    <n v="14"/>
    <n v="50"/>
    <n v="9"/>
    <n v="9.3000000000000007"/>
    <n v="0.3"/>
    <n v="1"/>
    <n v="1"/>
    <n v="1"/>
    <x v="0"/>
  </r>
  <r>
    <d v="2026-01-27T00:00:00"/>
    <x v="0"/>
    <s v="EMP013"/>
    <x v="12"/>
    <x v="1"/>
    <x v="1"/>
    <n v="20"/>
    <x v="0"/>
    <n v="8"/>
    <n v="11"/>
    <n v="0"/>
    <n v="8"/>
    <n v="5.9"/>
    <n v="0"/>
    <n v="1"/>
    <n v="0.89500000000000002"/>
    <n v="0.95799999999999996"/>
    <x v="0"/>
  </r>
  <r>
    <d v="2026-01-29T00:00:00"/>
    <x v="0"/>
    <s v="EMP014"/>
    <x v="13"/>
    <x v="2"/>
    <x v="2"/>
    <n v="22"/>
    <x v="1"/>
    <n v="13"/>
    <n v="11"/>
    <n v="2"/>
    <n v="9"/>
    <n v="7.1"/>
    <n v="0"/>
    <n v="0.84599999999999997"/>
    <n v="0.92100000000000004"/>
    <n v="0.876"/>
    <x v="1"/>
  </r>
  <r>
    <d v="2026-01-31T00:00:00"/>
    <x v="0"/>
    <s v="EMP015"/>
    <x v="14"/>
    <x v="3"/>
    <x v="3"/>
    <n v="22"/>
    <x v="0"/>
    <n v="10"/>
    <n v="9"/>
    <n v="1"/>
    <n v="7"/>
    <n v="6.4"/>
    <n v="0"/>
    <n v="0.85899999999999999"/>
    <n v="0.86299999999999999"/>
    <n v="0.86099999999999999"/>
    <x v="1"/>
  </r>
  <r>
    <d v="2026-02-02T00:00:00"/>
    <x v="1"/>
    <s v="EMP016"/>
    <x v="15"/>
    <x v="4"/>
    <x v="0"/>
    <n v="21"/>
    <x v="1"/>
    <n v="17"/>
    <n v="17"/>
    <n v="0"/>
    <n v="9"/>
    <n v="7.9"/>
    <n v="0"/>
    <n v="0.98399999999999999"/>
    <n v="0.91200000000000003"/>
    <n v="0.95499999999999996"/>
    <x v="0"/>
  </r>
  <r>
    <d v="2026-02-04T00:00:00"/>
    <x v="1"/>
    <s v="EMP017"/>
    <x v="16"/>
    <x v="5"/>
    <x v="2"/>
    <n v="20"/>
    <x v="2"/>
    <n v="15"/>
    <n v="12"/>
    <n v="3"/>
    <n v="7"/>
    <n v="7.3"/>
    <n v="0.3"/>
    <n v="0.85799999999999998"/>
    <n v="0.77200000000000002"/>
    <n v="0.82399999999999995"/>
    <x v="1"/>
  </r>
  <r>
    <d v="2026-02-08T00:00:00"/>
    <x v="1"/>
    <s v="EMP018"/>
    <x v="17"/>
    <x v="1"/>
    <x v="3"/>
    <n v="21"/>
    <x v="2"/>
    <n v="12"/>
    <n v="13"/>
    <n v="70"/>
    <n v="7"/>
    <n v="5.4"/>
    <n v="0"/>
    <n v="1"/>
    <n v="0.90500000000000003"/>
    <n v="0.96199999999999997"/>
    <x v="0"/>
  </r>
  <r>
    <d v="2026-02-10T00:00:00"/>
    <x v="1"/>
    <s v="EMP019"/>
    <x v="0"/>
    <x v="0"/>
    <x v="0"/>
    <n v="22"/>
    <x v="0"/>
    <n v="20"/>
    <n v="22"/>
    <n v="0"/>
    <n v="8"/>
    <n v="9.6"/>
    <n v="1.6"/>
    <n v="1"/>
    <n v="0.97599999999999998"/>
    <n v="0.99"/>
    <x v="0"/>
  </r>
  <r>
    <d v="2026-02-12T00:00:00"/>
    <x v="1"/>
    <s v="EMP020"/>
    <x v="1"/>
    <x v="0"/>
    <x v="1"/>
    <n v="21"/>
    <x v="0"/>
    <n v="19"/>
    <n v="21"/>
    <n v="0"/>
    <n v="8"/>
    <n v="7.8"/>
    <n v="0"/>
    <n v="1"/>
    <n v="1"/>
    <n v="1"/>
    <x v="0"/>
  </r>
  <r>
    <d v="2026-02-14T00:00:00"/>
    <x v="1"/>
    <s v="EMP021"/>
    <x v="2"/>
    <x v="1"/>
    <x v="2"/>
    <n v="22"/>
    <x v="0"/>
    <n v="18"/>
    <n v="17"/>
    <n v="1"/>
    <n v="9"/>
    <n v="9.1"/>
    <n v="0.1"/>
    <n v="0.94599999999999995"/>
    <n v="0.87"/>
    <n v="0.91600000000000004"/>
    <x v="0"/>
  </r>
  <r>
    <d v="2026-02-16T00:00:00"/>
    <x v="1"/>
    <s v="EMP022"/>
    <x v="3"/>
    <x v="1"/>
    <x v="0"/>
    <n v="21"/>
    <x v="0"/>
    <n v="16"/>
    <n v="19"/>
    <n v="0"/>
    <n v="9"/>
    <n v="7.4"/>
    <n v="0"/>
    <n v="1"/>
    <n v="1"/>
    <n v="1"/>
    <x v="0"/>
  </r>
  <r>
    <d v="2026-02-18T00:00:00"/>
    <x v="1"/>
    <s v="EMP023"/>
    <x v="4"/>
    <x v="2"/>
    <x v="3"/>
    <n v="21"/>
    <x v="0"/>
    <n v="9"/>
    <n v="8"/>
    <n v="1"/>
    <n v="8"/>
    <n v="7.4"/>
    <n v="0"/>
    <n v="0.84699999999999998"/>
    <n v="0.78"/>
    <n v="0.82"/>
    <x v="1"/>
  </r>
  <r>
    <d v="2026-02-20T00:00:00"/>
    <x v="1"/>
    <s v="EMP024"/>
    <x v="5"/>
    <x v="2"/>
    <x v="1"/>
    <n v="22"/>
    <x v="0"/>
    <n v="9"/>
    <n v="11"/>
    <n v="0"/>
    <n v="8"/>
    <n v="8.1"/>
    <n v="0.1"/>
    <n v="1"/>
    <n v="1"/>
    <n v="1"/>
    <x v="0"/>
  </r>
  <r>
    <d v="2026-02-22T00:00:00"/>
    <x v="1"/>
    <s v="EMP025"/>
    <x v="6"/>
    <x v="3"/>
    <x v="2"/>
    <n v="22"/>
    <x v="0"/>
    <n v="10"/>
    <n v="12"/>
    <n v="0"/>
    <n v="8"/>
    <n v="6.7"/>
    <n v="0"/>
    <n v="1"/>
    <n v="0.91600000000000004"/>
    <n v="0.96599999999999997"/>
    <x v="0"/>
  </r>
  <r>
    <d v="2026-02-24T00:00:00"/>
    <x v="1"/>
    <s v="EMP026"/>
    <x v="7"/>
    <x v="3"/>
    <x v="0"/>
    <n v="22"/>
    <x v="2"/>
    <n v="14"/>
    <n v="12"/>
    <n v="2"/>
    <n v="9"/>
    <n v="9.4"/>
    <n v="0.4"/>
    <n v="0.89800000000000002"/>
    <n v="0.93"/>
    <n v="0.91100000000000003"/>
    <x v="0"/>
  </r>
  <r>
    <d v="2026-02-28T00:00:00"/>
    <x v="1"/>
    <s v="EMP027"/>
    <x v="18"/>
    <x v="4"/>
    <x v="2"/>
    <n v="21"/>
    <x v="0"/>
    <n v="11"/>
    <n v="9"/>
    <n v="2"/>
    <n v="7"/>
    <n v="6.7"/>
    <n v="0"/>
    <n v="0.79200000000000004"/>
    <n v="0.80100000000000005"/>
    <n v="0.79600000000000004"/>
    <x v="1"/>
  </r>
  <r>
    <d v="2026-03-02T00:00:00"/>
    <x v="2"/>
    <s v="EMP028"/>
    <x v="19"/>
    <x v="5"/>
    <x v="1"/>
    <n v="20"/>
    <x v="2"/>
    <n v="11"/>
    <n v="8"/>
    <n v="3"/>
    <n v="7"/>
    <n v="6.3"/>
    <n v="0"/>
    <n v="0.76100000000000001"/>
    <n v="0.65400000000000003"/>
    <n v="0.71799999999999997"/>
    <x v="2"/>
  </r>
  <r>
    <d v="2026-03-04T00:00:00"/>
    <x v="2"/>
    <s v="EMP029"/>
    <x v="10"/>
    <x v="5"/>
    <x v="0"/>
    <n v="20"/>
    <x v="0"/>
    <n v="13"/>
    <n v="10"/>
    <n v="3"/>
    <n v="9"/>
    <n v="11"/>
    <n v="2"/>
    <n v="0.72699999999999998"/>
    <n v="0.754"/>
    <n v="0.73799999999999999"/>
    <x v="2"/>
  </r>
  <r>
    <d v="2026-03-06T00:00:00"/>
    <x v="2"/>
    <s v="EMP030"/>
    <x v="11"/>
    <x v="0"/>
    <x v="3"/>
    <n v="20"/>
    <x v="2"/>
    <n v="10"/>
    <n v="12"/>
    <n v="0"/>
    <n v="9"/>
    <n v="9"/>
    <n v="0"/>
    <n v="1"/>
    <n v="0.93300000000000005"/>
    <n v="0.97299999999999998"/>
    <x v="0"/>
  </r>
  <r>
    <d v="2026-03-08T00:00:00"/>
    <x v="2"/>
    <s v="EMP031"/>
    <x v="12"/>
    <x v="1"/>
    <x v="1"/>
    <n v="21"/>
    <x v="0"/>
    <n v="11"/>
    <n v="8"/>
    <n v="50"/>
    <n v="7"/>
    <n v="5.8"/>
    <n v="0"/>
    <n v="0.753"/>
    <n v="0.71099999999999997"/>
    <n v="0.73599999999999999"/>
    <x v="2"/>
  </r>
  <r>
    <d v="2026-03-10T00:00:00"/>
    <x v="2"/>
    <s v="EMP032"/>
    <x v="13"/>
    <x v="2"/>
    <x v="2"/>
    <n v="21"/>
    <x v="0"/>
    <n v="19"/>
    <n v="16"/>
    <n v="3"/>
    <n v="9"/>
    <n v="9.9"/>
    <n v="0.9"/>
    <n v="0.86699999999999999"/>
    <n v="0.88900000000000001"/>
    <n v="0.876"/>
    <x v="1"/>
  </r>
  <r>
    <d v="2026-03-12T00:00:00"/>
    <x v="2"/>
    <s v="EMP033"/>
    <x v="14"/>
    <x v="3"/>
    <x v="3"/>
    <n v="20"/>
    <x v="0"/>
    <n v="19"/>
    <n v="18"/>
    <n v="1"/>
    <n v="7"/>
    <n v="5.7"/>
    <n v="0"/>
    <n v="0.90700000000000003"/>
    <n v="0.82899999999999996"/>
    <n v="0.876"/>
    <x v="1"/>
  </r>
  <r>
    <d v="2026-03-14T00:00:00"/>
    <x v="2"/>
    <s v="EMP034"/>
    <x v="15"/>
    <x v="4"/>
    <x v="0"/>
    <n v="21"/>
    <x v="0"/>
    <n v="14"/>
    <n v="12"/>
    <n v="2"/>
    <n v="8"/>
    <n v="8.1999999999999993"/>
    <n v="0.2"/>
    <n v="0.85099999999999998"/>
    <n v="0.92300000000000004"/>
    <n v="0.88"/>
    <x v="1"/>
  </r>
  <r>
    <d v="2026-03-16T00:00:00"/>
    <x v="2"/>
    <s v="EMP035"/>
    <x v="16"/>
    <x v="5"/>
    <x v="2"/>
    <n v="20"/>
    <x v="0"/>
    <n v="20"/>
    <n v="23"/>
    <n v="0"/>
    <n v="9"/>
    <n v="6.8"/>
    <n v="0"/>
    <n v="1"/>
    <n v="1"/>
    <n v="1"/>
    <x v="0"/>
  </r>
  <r>
    <d v="2026-03-20T00:00:00"/>
    <x v="2"/>
    <s v="EMP036"/>
    <x v="17"/>
    <x v="1"/>
    <x v="3"/>
    <n v="20"/>
    <x v="0"/>
    <n v="8"/>
    <n v="6"/>
    <n v="2"/>
    <n v="8"/>
    <n v="8.1999999999999993"/>
    <n v="0.2"/>
    <n v="0.67"/>
    <n v="0.63600000000000001"/>
    <n v="0.65600000000000003"/>
    <x v="2"/>
  </r>
  <r>
    <d v="2026-03-22T00:00:00"/>
    <x v="2"/>
    <s v="EMP037"/>
    <x v="0"/>
    <x v="0"/>
    <x v="0"/>
    <n v="21"/>
    <x v="0"/>
    <n v="14"/>
    <n v="16"/>
    <n v="0"/>
    <n v="9"/>
    <n v="9.8000000000000007"/>
    <n v="0.8"/>
    <n v="1"/>
    <n v="1"/>
    <n v="1"/>
    <x v="0"/>
  </r>
  <r>
    <d v="2026-03-24T00:00:00"/>
    <x v="2"/>
    <s v="EMP038"/>
    <x v="1"/>
    <x v="0"/>
    <x v="1"/>
    <n v="22"/>
    <x v="0"/>
    <n v="10"/>
    <n v="8"/>
    <n v="2"/>
    <n v="8"/>
    <n v="8.1999999999999993"/>
    <n v="0.2"/>
    <n v="0.755"/>
    <n v="0.64800000000000002"/>
    <n v="0.71199999999999997"/>
    <x v="2"/>
  </r>
  <r>
    <d v="2026-03-26T00:00:00"/>
    <x v="2"/>
    <s v="EMP039"/>
    <x v="2"/>
    <x v="1"/>
    <x v="2"/>
    <n v="22"/>
    <x v="2"/>
    <n v="8"/>
    <n v="10"/>
    <n v="0"/>
    <n v="8"/>
    <n v="7.9"/>
    <n v="0"/>
    <n v="1"/>
    <n v="1"/>
    <n v="1"/>
    <x v="0"/>
  </r>
  <r>
    <d v="2026-03-28T00:00:00"/>
    <x v="2"/>
    <s v="EMP040"/>
    <x v="3"/>
    <x v="1"/>
    <x v="0"/>
    <n v="22"/>
    <x v="2"/>
    <n v="10"/>
    <n v="7"/>
    <n v="3"/>
    <n v="9"/>
    <n v="8.6999999999999993"/>
    <n v="0"/>
    <n v="0.63300000000000001"/>
    <n v="0.55400000000000005"/>
    <n v="0.60099999999999998"/>
    <x v="2"/>
  </r>
  <r>
    <d v="2026-03-30T00:00:00"/>
    <x v="2"/>
    <s v="EMP041"/>
    <x v="4"/>
    <x v="2"/>
    <x v="3"/>
    <n v="22"/>
    <x v="0"/>
    <n v="18"/>
    <n v="21"/>
    <n v="0"/>
    <n v="7"/>
    <n v="5.4"/>
    <n v="0"/>
    <n v="1"/>
    <n v="1"/>
    <n v="1"/>
    <x v="0"/>
  </r>
  <r>
    <d v="2026-04-01T00:00:00"/>
    <x v="3"/>
    <s v="EMP042"/>
    <x v="5"/>
    <x v="2"/>
    <x v="1"/>
    <n v="22"/>
    <x v="0"/>
    <n v="17"/>
    <n v="18"/>
    <n v="0"/>
    <n v="7"/>
    <n v="6.2"/>
    <n v="0"/>
    <n v="1"/>
    <n v="0.97199999999999998"/>
    <n v="0.98899999999999999"/>
    <x v="0"/>
  </r>
  <r>
    <d v="2026-04-05T00:00:00"/>
    <x v="3"/>
    <s v="EMP043"/>
    <x v="7"/>
    <x v="3"/>
    <x v="0"/>
    <n v="20"/>
    <x v="0"/>
    <n v="14"/>
    <n v="12"/>
    <n v="2"/>
    <n v="9"/>
    <n v="10.199999999999999"/>
    <n v="1.2"/>
    <n v="0.88"/>
    <n v="0.86099999999999999"/>
    <n v="0.872"/>
    <x v="1"/>
  </r>
  <r>
    <d v="2026-04-07T00:00:00"/>
    <x v="3"/>
    <s v="EMP044"/>
    <x v="8"/>
    <x v="4"/>
    <x v="3"/>
    <n v="20"/>
    <x v="0"/>
    <n v="15"/>
    <n v="16"/>
    <n v="0"/>
    <n v="9"/>
    <n v="9.4"/>
    <n v="0.4"/>
    <n v="1"/>
    <n v="0.89600000000000002"/>
    <n v="0.95799999999999996"/>
    <x v="0"/>
  </r>
  <r>
    <d v="2026-04-09T00:00:00"/>
    <x v="3"/>
    <s v="EMP045"/>
    <x v="18"/>
    <x v="4"/>
    <x v="2"/>
    <n v="20"/>
    <x v="2"/>
    <n v="12"/>
    <n v="10"/>
    <n v="2"/>
    <n v="8"/>
    <n v="6.1"/>
    <n v="0"/>
    <n v="0.89400000000000002"/>
    <n v="0.96699999999999997"/>
    <n v="0.92300000000000004"/>
    <x v="0"/>
  </r>
  <r>
    <d v="2026-04-11T00:00:00"/>
    <x v="3"/>
    <s v="EMP046"/>
    <x v="19"/>
    <x v="5"/>
    <x v="1"/>
    <n v="21"/>
    <x v="0"/>
    <n v="10"/>
    <n v="10"/>
    <n v="0"/>
    <n v="9"/>
    <n v="9.4"/>
    <n v="0.4"/>
    <n v="1"/>
    <n v="1"/>
    <n v="1"/>
    <x v="0"/>
  </r>
  <r>
    <d v="2026-04-13T00:00:00"/>
    <x v="3"/>
    <s v="EMP047"/>
    <x v="10"/>
    <x v="5"/>
    <x v="0"/>
    <n v="22"/>
    <x v="2"/>
    <n v="8"/>
    <n v="10"/>
    <n v="0"/>
    <n v="9"/>
    <n v="8.6"/>
    <n v="0"/>
    <n v="1"/>
    <n v="1"/>
    <n v="1"/>
    <x v="0"/>
  </r>
  <r>
    <d v="2026-04-15T00:00:00"/>
    <x v="3"/>
    <s v="EMP048"/>
    <x v="11"/>
    <x v="0"/>
    <x v="3"/>
    <n v="20"/>
    <x v="0"/>
    <n v="9"/>
    <n v="6"/>
    <n v="70"/>
    <n v="9"/>
    <n v="8.3000000000000007"/>
    <n v="0"/>
    <n v="0.67500000000000004"/>
    <n v="0.61499999999999999"/>
    <n v="0.65100000000000002"/>
    <x v="2"/>
  </r>
  <r>
    <d v="2026-04-19T00:00:00"/>
    <x v="3"/>
    <s v="EMP049"/>
    <x v="13"/>
    <x v="2"/>
    <x v="2"/>
    <n v="22"/>
    <x v="0"/>
    <n v="12"/>
    <n v="15"/>
    <n v="0"/>
    <n v="7"/>
    <n v="8.1"/>
    <n v="1.1000000000000001"/>
    <n v="1"/>
    <n v="0.97299999999999998"/>
    <n v="0.98899999999999999"/>
    <x v="0"/>
  </r>
  <r>
    <d v="2026-04-21T00:00:00"/>
    <x v="3"/>
    <s v="EMP050"/>
    <x v="14"/>
    <x v="3"/>
    <x v="3"/>
    <n v="21"/>
    <x v="0"/>
    <n v="8"/>
    <n v="7"/>
    <n v="1"/>
    <n v="7"/>
    <n v="8"/>
    <n v="1"/>
    <n v="0.89700000000000002"/>
    <n v="0.83499999999999996"/>
    <n v="0.872"/>
    <x v="1"/>
  </r>
  <r>
    <d v="2026-04-23T00:00:00"/>
    <x v="3"/>
    <s v="EMP051"/>
    <x v="15"/>
    <x v="4"/>
    <x v="0"/>
    <n v="22"/>
    <x v="0"/>
    <n v="16"/>
    <n v="18"/>
    <n v="0"/>
    <n v="8"/>
    <n v="7.1"/>
    <n v="0"/>
    <n v="1"/>
    <n v="0.90500000000000003"/>
    <n v="0.96199999999999997"/>
    <x v="0"/>
  </r>
  <r>
    <d v="2026-04-25T00:00:00"/>
    <x v="3"/>
    <s v="EMP052"/>
    <x v="16"/>
    <x v="5"/>
    <x v="2"/>
    <n v="22"/>
    <x v="0"/>
    <n v="16"/>
    <n v="13"/>
    <n v="3"/>
    <n v="8"/>
    <n v="7.7"/>
    <n v="0"/>
    <n v="0.82599999999999996"/>
    <n v="0.73899999999999999"/>
    <n v="0.79100000000000004"/>
    <x v="1"/>
  </r>
  <r>
    <d v="2026-04-27T00:00:00"/>
    <x v="3"/>
    <s v="EMP053"/>
    <x v="20"/>
    <x v="0"/>
    <x v="1"/>
    <n v="20"/>
    <x v="0"/>
    <n v="12"/>
    <n v="11"/>
    <n v="1"/>
    <n v="7"/>
    <n v="7.4"/>
    <n v="0.4"/>
    <n v="0.98"/>
    <n v="0.90600000000000003"/>
    <n v="0.95"/>
    <x v="0"/>
  </r>
  <r>
    <d v="2026-04-29T00:00:00"/>
    <x v="3"/>
    <s v="EMP054"/>
    <x v="17"/>
    <x v="1"/>
    <x v="3"/>
    <n v="20"/>
    <x v="1"/>
    <n v="9"/>
    <n v="8"/>
    <n v="1"/>
    <n v="9"/>
    <n v="10.1"/>
    <n v="1.1000000000000001"/>
    <n v="0.95"/>
    <n v="0.91900000000000004"/>
    <n v="0.93799999999999994"/>
    <x v="0"/>
  </r>
  <r>
    <d v="2026-05-01T00:00:00"/>
    <x v="4"/>
    <s v="EMP055"/>
    <x v="0"/>
    <x v="0"/>
    <x v="0"/>
    <n v="22"/>
    <x v="1"/>
    <n v="10"/>
    <n v="8"/>
    <n v="2"/>
    <n v="7"/>
    <n v="6.5"/>
    <n v="0"/>
    <n v="0.876"/>
    <n v="0.93400000000000005"/>
    <n v="0.89900000000000002"/>
    <x v="1"/>
  </r>
  <r>
    <d v="2026-05-03T00:00:00"/>
    <x v="4"/>
    <s v="EMP056"/>
    <x v="1"/>
    <x v="0"/>
    <x v="1"/>
    <n v="21"/>
    <x v="0"/>
    <n v="10"/>
    <n v="12"/>
    <n v="0"/>
    <n v="8"/>
    <n v="7.8"/>
    <n v="0"/>
    <n v="1"/>
    <n v="0.97099999999999997"/>
    <n v="0.98799999999999999"/>
    <x v="0"/>
  </r>
  <r>
    <d v="2026-05-07T00:00:00"/>
    <x v="4"/>
    <s v="EMP057"/>
    <x v="3"/>
    <x v="1"/>
    <x v="0"/>
    <n v="21"/>
    <x v="0"/>
    <n v="15"/>
    <n v="13"/>
    <n v="2"/>
    <n v="7"/>
    <n v="5.7"/>
    <n v="0"/>
    <n v="0.91700000000000004"/>
    <n v="0.89800000000000002"/>
    <n v="0.90900000000000003"/>
    <x v="0"/>
  </r>
  <r>
    <d v="2026-05-09T00:00:00"/>
    <x v="4"/>
    <s v="EMP058"/>
    <x v="4"/>
    <x v="2"/>
    <x v="3"/>
    <n v="21"/>
    <x v="0"/>
    <n v="11"/>
    <n v="8"/>
    <n v="3"/>
    <n v="9"/>
    <n v="9.9"/>
    <n v="0.9"/>
    <n v="0.67800000000000005"/>
    <n v="0.63"/>
    <n v="0.65900000000000003"/>
    <x v="2"/>
  </r>
  <r>
    <d v="2026-05-11T00:00:00"/>
    <x v="4"/>
    <s v="EMP059"/>
    <x v="5"/>
    <x v="2"/>
    <x v="1"/>
    <n v="20"/>
    <x v="0"/>
    <n v="13"/>
    <n v="15"/>
    <n v="0"/>
    <n v="9"/>
    <n v="10.5"/>
    <n v="1.5"/>
    <n v="1"/>
    <n v="1"/>
    <n v="1"/>
    <x v="0"/>
  </r>
  <r>
    <d v="2026-05-13T00:00:00"/>
    <x v="4"/>
    <s v="EMP060"/>
    <x v="6"/>
    <x v="3"/>
    <x v="2"/>
    <n v="22"/>
    <x v="0"/>
    <n v="8"/>
    <n v="5"/>
    <n v="50"/>
    <n v="8"/>
    <n v="7.9"/>
    <n v="0"/>
    <n v="0.57399999999999995"/>
    <n v="0.66600000000000004"/>
    <n v="0.61099999999999999"/>
    <x v="2"/>
  </r>
  <r>
    <d v="2026-05-15T00:00:00"/>
    <x v="4"/>
    <s v="EMP061"/>
    <x v="7"/>
    <x v="3"/>
    <x v="0"/>
    <n v="21"/>
    <x v="0"/>
    <n v="9"/>
    <n v="10"/>
    <n v="0"/>
    <n v="8"/>
    <n v="9.1"/>
    <n v="1.1000000000000001"/>
    <n v="1"/>
    <n v="1"/>
    <n v="1"/>
    <x v="0"/>
  </r>
  <r>
    <d v="2026-05-17T00:00:00"/>
    <x v="4"/>
    <s v="EMP062"/>
    <x v="8"/>
    <x v="4"/>
    <x v="3"/>
    <n v="21"/>
    <x v="2"/>
    <n v="16"/>
    <n v="13"/>
    <n v="3"/>
    <n v="8"/>
    <n v="8.4"/>
    <n v="0.4"/>
    <n v="0.876"/>
    <n v="0.79800000000000004"/>
    <n v="0.84499999999999997"/>
    <x v="1"/>
  </r>
  <r>
    <d v="2026-05-21T00:00:00"/>
    <x v="4"/>
    <s v="EMP063"/>
    <x v="19"/>
    <x v="5"/>
    <x v="1"/>
    <n v="22"/>
    <x v="1"/>
    <n v="19"/>
    <n v="21"/>
    <n v="0"/>
    <n v="7"/>
    <n v="7.4"/>
    <n v="0.4"/>
    <n v="1"/>
    <n v="0.89500000000000002"/>
    <n v="0.95799999999999996"/>
    <x v="0"/>
  </r>
  <r>
    <d v="2026-05-23T00:00:00"/>
    <x v="4"/>
    <s v="EMP064"/>
    <x v="10"/>
    <x v="5"/>
    <x v="0"/>
    <n v="22"/>
    <x v="0"/>
    <n v="17"/>
    <n v="16"/>
    <n v="1"/>
    <n v="9"/>
    <n v="10.7"/>
    <n v="1.7"/>
    <n v="0.997"/>
    <n v="1"/>
    <n v="0.998"/>
    <x v="0"/>
  </r>
  <r>
    <d v="2026-05-25T00:00:00"/>
    <x v="4"/>
    <s v="EMP065"/>
    <x v="11"/>
    <x v="0"/>
    <x v="3"/>
    <n v="21"/>
    <x v="2"/>
    <n v="12"/>
    <n v="14"/>
    <n v="0"/>
    <n v="8"/>
    <n v="8"/>
    <n v="0"/>
    <n v="1"/>
    <n v="1"/>
    <n v="1"/>
    <x v="0"/>
  </r>
  <r>
    <d v="2026-05-27T00:00:00"/>
    <x v="4"/>
    <s v="EMP066"/>
    <x v="12"/>
    <x v="1"/>
    <x v="1"/>
    <n v="22"/>
    <x v="0"/>
    <n v="11"/>
    <n v="11"/>
    <n v="0"/>
    <n v="9"/>
    <n v="10.7"/>
    <n v="1.7"/>
    <n v="1"/>
    <n v="1"/>
    <n v="1"/>
    <x v="0"/>
  </r>
  <r>
    <d v="2026-05-29T00:00:00"/>
    <x v="4"/>
    <s v="EMP067"/>
    <x v="13"/>
    <x v="2"/>
    <x v="2"/>
    <n v="20"/>
    <x v="2"/>
    <n v="17"/>
    <n v="16"/>
    <n v="1"/>
    <n v="8"/>
    <n v="5.0999999999999996"/>
    <n v="0"/>
    <n v="0.94899999999999995"/>
    <n v="0.82899999999999996"/>
    <n v="0.90100000000000002"/>
    <x v="0"/>
  </r>
  <r>
    <d v="2026-05-31T00:00:00"/>
    <x v="4"/>
    <s v="EMP068"/>
    <x v="14"/>
    <x v="3"/>
    <x v="3"/>
    <n v="21"/>
    <x v="0"/>
    <n v="14"/>
    <n v="17"/>
    <n v="0"/>
    <n v="9"/>
    <n v="9.9"/>
    <n v="0.9"/>
    <n v="1"/>
    <n v="0.95099999999999996"/>
    <n v="0.98"/>
    <x v="0"/>
  </r>
  <r>
    <d v="2026-06-02T00:00:00"/>
    <x v="5"/>
    <s v="EMP069"/>
    <x v="15"/>
    <x v="4"/>
    <x v="0"/>
    <n v="21"/>
    <x v="0"/>
    <n v="18"/>
    <n v="16"/>
    <n v="2"/>
    <n v="9"/>
    <n v="9.1"/>
    <n v="0.1"/>
    <n v="0.88500000000000001"/>
    <n v="0.96299999999999997"/>
    <n v="0.91600000000000004"/>
    <x v="0"/>
  </r>
  <r>
    <d v="2026-06-06T00:00:00"/>
    <x v="5"/>
    <s v="EMP070"/>
    <x v="20"/>
    <x v="0"/>
    <x v="1"/>
    <n v="21"/>
    <x v="0"/>
    <n v="20"/>
    <n v="18"/>
    <n v="2"/>
    <n v="9"/>
    <n v="9.1"/>
    <n v="0.1"/>
    <n v="0.87"/>
    <n v="0.92700000000000005"/>
    <n v="0.89300000000000002"/>
    <x v="1"/>
  </r>
  <r>
    <d v="2026-06-08T00:00:00"/>
    <x v="5"/>
    <s v="EMP071"/>
    <x v="17"/>
    <x v="1"/>
    <x v="3"/>
    <n v="20"/>
    <x v="0"/>
    <n v="8"/>
    <n v="6"/>
    <n v="2"/>
    <n v="8"/>
    <n v="5.8"/>
    <n v="0"/>
    <n v="0.76800000000000002"/>
    <n v="0.81699999999999995"/>
    <n v="0.78800000000000003"/>
    <x v="1"/>
  </r>
  <r>
    <d v="2026-06-10T00:00:00"/>
    <x v="5"/>
    <s v="EMP072"/>
    <x v="0"/>
    <x v="0"/>
    <x v="0"/>
    <n v="21"/>
    <x v="0"/>
    <n v="18"/>
    <n v="19"/>
    <n v="50"/>
    <n v="7"/>
    <n v="6.8"/>
    <n v="0"/>
    <n v="1"/>
    <n v="0.96399999999999997"/>
    <n v="0.98599999999999999"/>
    <x v="0"/>
  </r>
  <r>
    <d v="2026-06-12T00:00:00"/>
    <x v="5"/>
    <s v="EMP073"/>
    <x v="1"/>
    <x v="0"/>
    <x v="1"/>
    <n v="21"/>
    <x v="0"/>
    <n v="10"/>
    <n v="12"/>
    <n v="0"/>
    <n v="9"/>
    <n v="9.4"/>
    <n v="0.4"/>
    <n v="1"/>
    <n v="1"/>
    <n v="1"/>
    <x v="0"/>
  </r>
  <r>
    <d v="2026-06-14T00:00:00"/>
    <x v="5"/>
    <s v="EMP074"/>
    <x v="2"/>
    <x v="1"/>
    <x v="2"/>
    <n v="20"/>
    <x v="0"/>
    <n v="11"/>
    <n v="9"/>
    <n v="2"/>
    <n v="9"/>
    <n v="10.6"/>
    <n v="1.6"/>
    <n v="0.82099999999999995"/>
    <n v="0.71199999999999997"/>
    <n v="0.77700000000000002"/>
    <x v="1"/>
  </r>
  <r>
    <d v="2026-06-16T00:00:00"/>
    <x v="5"/>
    <s v="EMP075"/>
    <x v="3"/>
    <x v="1"/>
    <x v="0"/>
    <n v="20"/>
    <x v="0"/>
    <n v="15"/>
    <n v="13"/>
    <n v="2"/>
    <n v="8"/>
    <n v="7.4"/>
    <n v="0"/>
    <n v="0.89300000000000002"/>
    <n v="0.99"/>
    <n v="0.93200000000000005"/>
    <x v="0"/>
  </r>
  <r>
    <d v="2026-06-20T00:00:00"/>
    <x v="5"/>
    <s v="EMP076"/>
    <x v="5"/>
    <x v="2"/>
    <x v="1"/>
    <n v="21"/>
    <x v="2"/>
    <n v="15"/>
    <n v="13"/>
    <n v="2"/>
    <n v="9"/>
    <n v="8.4"/>
    <n v="0"/>
    <n v="0.92500000000000004"/>
    <n v="0.90400000000000003"/>
    <n v="0.91700000000000004"/>
    <x v="0"/>
  </r>
  <r>
    <d v="2026-06-22T00:00:00"/>
    <x v="5"/>
    <s v="EMP077"/>
    <x v="6"/>
    <x v="3"/>
    <x v="2"/>
    <n v="20"/>
    <x v="1"/>
    <n v="12"/>
    <n v="15"/>
    <n v="0"/>
    <n v="9"/>
    <n v="10"/>
    <n v="1"/>
    <n v="1"/>
    <n v="0.93300000000000005"/>
    <n v="0.97299999999999998"/>
    <x v="0"/>
  </r>
  <r>
    <d v="2026-06-24T00:00:00"/>
    <x v="5"/>
    <s v="EMP078"/>
    <x v="7"/>
    <x v="3"/>
    <x v="0"/>
    <n v="21"/>
    <x v="0"/>
    <n v="19"/>
    <n v="18"/>
    <n v="1"/>
    <n v="7"/>
    <n v="7.4"/>
    <n v="0.4"/>
    <n v="0.91100000000000003"/>
    <n v="0.86099999999999999"/>
    <n v="0.89100000000000001"/>
    <x v="1"/>
  </r>
  <r>
    <d v="2026-06-26T00:00:00"/>
    <x v="5"/>
    <s v="EMP079"/>
    <x v="8"/>
    <x v="4"/>
    <x v="3"/>
    <n v="22"/>
    <x v="0"/>
    <n v="10"/>
    <n v="8"/>
    <n v="2"/>
    <n v="7"/>
    <n v="6.4"/>
    <n v="0"/>
    <n v="0.78100000000000003"/>
    <n v="0.69499999999999995"/>
    <n v="0.747"/>
    <x v="2"/>
  </r>
  <r>
    <d v="2026-06-28T00:00:00"/>
    <x v="5"/>
    <s v="EMP080"/>
    <x v="18"/>
    <x v="4"/>
    <x v="2"/>
    <n v="20"/>
    <x v="0"/>
    <n v="14"/>
    <n v="14"/>
    <n v="0"/>
    <n v="8"/>
    <n v="8.6"/>
    <n v="0.6"/>
    <n v="1"/>
    <n v="0.97099999999999997"/>
    <n v="0.98799999999999999"/>
    <x v="0"/>
  </r>
  <r>
    <d v="2026-06-30T00:00:00"/>
    <x v="5"/>
    <s v="EMP081"/>
    <x v="19"/>
    <x v="5"/>
    <x v="1"/>
    <n v="20"/>
    <x v="0"/>
    <n v="14"/>
    <n v="17"/>
    <n v="0"/>
    <n v="9"/>
    <n v="9.1"/>
    <n v="0.1"/>
    <n v="1"/>
    <n v="0.88400000000000001"/>
    <n v="0.95399999999999996"/>
    <x v="0"/>
  </r>
  <r>
    <d v="2026-07-02T00:00:00"/>
    <x v="6"/>
    <s v="EMP082"/>
    <x v="10"/>
    <x v="5"/>
    <x v="0"/>
    <n v="22"/>
    <x v="0"/>
    <n v="15"/>
    <n v="12"/>
    <n v="3"/>
    <n v="8"/>
    <n v="9.1"/>
    <n v="1.1000000000000001"/>
    <n v="0.76800000000000002"/>
    <n v="0.73399999999999999"/>
    <n v="0.754"/>
    <x v="1"/>
  </r>
  <r>
    <d v="2026-07-06T00:00:00"/>
    <x v="6"/>
    <s v="EMP083"/>
    <x v="12"/>
    <x v="1"/>
    <x v="1"/>
    <n v="21"/>
    <x v="0"/>
    <n v="12"/>
    <n v="12"/>
    <n v="0"/>
    <n v="8"/>
    <n v="7.6"/>
    <n v="0"/>
    <n v="0.92500000000000004"/>
    <n v="0.879"/>
    <n v="0.90700000000000003"/>
    <x v="0"/>
  </r>
  <r>
    <d v="2026-07-08T00:00:00"/>
    <x v="6"/>
    <s v="EMP084"/>
    <x v="13"/>
    <x v="2"/>
    <x v="2"/>
    <n v="22"/>
    <x v="0"/>
    <n v="19"/>
    <n v="17"/>
    <n v="2"/>
    <n v="8"/>
    <n v="7.6"/>
    <n v="0"/>
    <n v="0.96199999999999997"/>
    <n v="1"/>
    <n v="0.97699999999999998"/>
    <x v="0"/>
  </r>
  <r>
    <d v="2026-07-10T00:00:00"/>
    <x v="6"/>
    <s v="EMP085"/>
    <x v="14"/>
    <x v="3"/>
    <x v="3"/>
    <n v="22"/>
    <x v="0"/>
    <n v="14"/>
    <n v="15"/>
    <n v="30"/>
    <n v="9"/>
    <n v="7.4"/>
    <n v="0"/>
    <n v="1"/>
    <n v="0.89800000000000002"/>
    <n v="0.95899999999999996"/>
    <x v="0"/>
  </r>
  <r>
    <d v="2026-07-12T00:00:00"/>
    <x v="6"/>
    <s v="EMP086"/>
    <x v="15"/>
    <x v="4"/>
    <x v="0"/>
    <n v="21"/>
    <x v="0"/>
    <n v="15"/>
    <n v="13"/>
    <n v="2"/>
    <n v="7"/>
    <n v="7.3"/>
    <n v="0.3"/>
    <n v="0.82799999999999996"/>
    <n v="0.78"/>
    <n v="0.80900000000000005"/>
    <x v="1"/>
  </r>
  <r>
    <d v="2026-07-14T00:00:00"/>
    <x v="6"/>
    <s v="EMP087"/>
    <x v="16"/>
    <x v="5"/>
    <x v="2"/>
    <n v="21"/>
    <x v="0"/>
    <n v="13"/>
    <n v="16"/>
    <n v="0"/>
    <n v="8"/>
    <n v="8.3000000000000007"/>
    <n v="0.3"/>
    <n v="1"/>
    <n v="1"/>
    <n v="1"/>
    <x v="0"/>
  </r>
  <r>
    <d v="2026-07-16T00:00:00"/>
    <x v="6"/>
    <s v="EMP088"/>
    <x v="20"/>
    <x v="0"/>
    <x v="1"/>
    <n v="21"/>
    <x v="0"/>
    <n v="9"/>
    <n v="9"/>
    <n v="0"/>
    <n v="7"/>
    <n v="7"/>
    <n v="0"/>
    <n v="1"/>
    <n v="0.89100000000000001"/>
    <n v="0.95599999999999996"/>
    <x v="0"/>
  </r>
  <r>
    <d v="2026-07-18T00:00:00"/>
    <x v="6"/>
    <s v="EMP089"/>
    <x v="17"/>
    <x v="1"/>
    <x v="3"/>
    <n v="21"/>
    <x v="0"/>
    <n v="18"/>
    <n v="15"/>
    <n v="3"/>
    <n v="9"/>
    <n v="8.6999999999999993"/>
    <n v="0"/>
    <n v="0.76"/>
    <n v="0.64700000000000002"/>
    <n v="0.71499999999999997"/>
    <x v="2"/>
  </r>
  <r>
    <d v="2026-08-01T00:00:00"/>
    <x v="7"/>
    <s v="EMP090"/>
    <x v="21"/>
    <x v="0"/>
    <x v="0"/>
    <n v="21"/>
    <x v="0"/>
    <n v="14"/>
    <n v="12"/>
    <n v="2"/>
    <n v="8"/>
    <n v="8.1999999999999993"/>
    <n v="0.2"/>
    <n v="0.85099999999999998"/>
    <n v="0.92300000000000004"/>
    <n v="0.88"/>
    <x v="1"/>
  </r>
  <r>
    <d v="2026-08-04T00:00:00"/>
    <x v="7"/>
    <s v="EMP091"/>
    <x v="22"/>
    <x v="2"/>
    <x v="2"/>
    <n v="20"/>
    <x v="0"/>
    <n v="20"/>
    <n v="23"/>
    <n v="0"/>
    <n v="9"/>
    <n v="6.8"/>
    <n v="0"/>
    <n v="1"/>
    <n v="1"/>
    <n v="1"/>
    <x v="0"/>
  </r>
  <r>
    <d v="2026-08-08T00:00:00"/>
    <x v="7"/>
    <s v="EMP092"/>
    <x v="23"/>
    <x v="3"/>
    <x v="3"/>
    <n v="20"/>
    <x v="0"/>
    <n v="8"/>
    <n v="6"/>
    <n v="2"/>
    <n v="8"/>
    <n v="8.1999999999999993"/>
    <n v="0.2"/>
    <n v="0.67"/>
    <n v="0.63600000000000001"/>
    <n v="0.65600000000000003"/>
    <x v="2"/>
  </r>
  <r>
    <d v="2026-08-04T00:00:00"/>
    <x v="7"/>
    <s v="EMP093"/>
    <x v="24"/>
    <x v="4"/>
    <x v="0"/>
    <n v="21"/>
    <x v="0"/>
    <n v="14"/>
    <n v="16"/>
    <n v="0"/>
    <n v="9"/>
    <n v="9.8000000000000007"/>
    <n v="0.8"/>
    <n v="1"/>
    <n v="1"/>
    <n v="1"/>
    <x v="0"/>
  </r>
  <r>
    <d v="2026-08-05T00:00:00"/>
    <x v="7"/>
    <s v="EMP094"/>
    <x v="25"/>
    <x v="5"/>
    <x v="1"/>
    <n v="22"/>
    <x v="0"/>
    <n v="10"/>
    <n v="8"/>
    <n v="2"/>
    <n v="8"/>
    <n v="8.1999999999999993"/>
    <n v="0.2"/>
    <n v="0.755"/>
    <n v="0.64800000000000002"/>
    <n v="0.71199999999999997"/>
    <x v="2"/>
  </r>
  <r>
    <d v="2026-08-06T00:00:00"/>
    <x v="7"/>
    <s v="EMP095"/>
    <x v="26"/>
    <x v="0"/>
    <x v="2"/>
    <n v="22"/>
    <x v="2"/>
    <n v="8"/>
    <n v="10"/>
    <n v="0"/>
    <n v="8"/>
    <n v="7.9"/>
    <n v="0"/>
    <n v="1"/>
    <n v="1"/>
    <n v="1"/>
    <x v="0"/>
  </r>
  <r>
    <d v="2026-08-07T00:00:00"/>
    <x v="7"/>
    <s v="EMP096"/>
    <x v="27"/>
    <x v="1"/>
    <x v="0"/>
    <n v="22"/>
    <x v="2"/>
    <n v="10"/>
    <n v="7"/>
    <n v="3"/>
    <n v="9"/>
    <n v="8.6999999999999993"/>
    <n v="0"/>
    <n v="0.63300000000000001"/>
    <n v="0.55400000000000005"/>
    <n v="0.60099999999999998"/>
    <x v="2"/>
  </r>
  <r>
    <d v="2026-08-08T00:00:00"/>
    <x v="7"/>
    <s v="EMP097"/>
    <x v="28"/>
    <x v="0"/>
    <x v="3"/>
    <n v="22"/>
    <x v="0"/>
    <n v="18"/>
    <n v="21"/>
    <n v="0"/>
    <n v="7"/>
    <n v="5.4"/>
    <n v="0"/>
    <n v="1"/>
    <n v="1"/>
    <n v="1"/>
    <x v="0"/>
  </r>
  <r>
    <d v="2026-08-09T00:00:00"/>
    <x v="7"/>
    <s v="EMP098"/>
    <x v="29"/>
    <x v="0"/>
    <x v="1"/>
    <n v="22"/>
    <x v="0"/>
    <n v="17"/>
    <n v="18"/>
    <n v="0"/>
    <n v="7"/>
    <n v="6.2"/>
    <n v="0"/>
    <n v="1"/>
    <n v="0.97199999999999998"/>
    <n v="0.98899999999999999"/>
    <x v="0"/>
  </r>
  <r>
    <d v="2026-08-10T00:00:00"/>
    <x v="7"/>
    <s v="EMP099"/>
    <x v="30"/>
    <x v="1"/>
    <x v="0"/>
    <n v="20"/>
    <x v="0"/>
    <n v="14"/>
    <n v="12"/>
    <n v="2"/>
    <n v="9"/>
    <n v="10.199999999999999"/>
    <n v="1.2"/>
    <n v="0.88"/>
    <n v="0.86099999999999999"/>
    <n v="0.872"/>
    <x v="1"/>
  </r>
  <r>
    <d v="2026-08-11T00:00:00"/>
    <x v="7"/>
    <s v="EMP100"/>
    <x v="31"/>
    <x v="2"/>
    <x v="3"/>
    <n v="20"/>
    <x v="0"/>
    <n v="15"/>
    <n v="16"/>
    <n v="0"/>
    <n v="9"/>
    <n v="9.4"/>
    <n v="0.4"/>
    <n v="1"/>
    <n v="0.89600000000000002"/>
    <n v="0.95799999999999996"/>
    <x v="0"/>
  </r>
  <r>
    <d v="2026-08-12T00:00:00"/>
    <x v="7"/>
    <s v="EMP101"/>
    <x v="32"/>
    <x v="2"/>
    <x v="2"/>
    <n v="20"/>
    <x v="2"/>
    <n v="12"/>
    <n v="10"/>
    <n v="2"/>
    <n v="8"/>
    <n v="6.1"/>
    <n v="0"/>
    <n v="0.89400000000000002"/>
    <n v="0.96699999999999997"/>
    <n v="0.92300000000000004"/>
    <x v="0"/>
  </r>
  <r>
    <d v="2026-08-13T00:00:00"/>
    <x v="7"/>
    <s v="EMP102"/>
    <x v="33"/>
    <x v="3"/>
    <x v="1"/>
    <n v="21"/>
    <x v="0"/>
    <n v="10"/>
    <n v="10"/>
    <n v="0"/>
    <n v="9"/>
    <n v="9.4"/>
    <n v="0.4"/>
    <n v="1"/>
    <n v="1"/>
    <n v="1"/>
    <x v="0"/>
  </r>
  <r>
    <d v="2026-08-14T00:00:00"/>
    <x v="7"/>
    <s v="EMP103"/>
    <x v="34"/>
    <x v="3"/>
    <x v="0"/>
    <n v="22"/>
    <x v="2"/>
    <n v="8"/>
    <n v="10"/>
    <n v="0"/>
    <n v="9"/>
    <n v="8.6"/>
    <n v="0"/>
    <n v="1"/>
    <n v="1"/>
    <n v="1"/>
    <x v="0"/>
  </r>
  <r>
    <d v="2026-08-15T00:00:00"/>
    <x v="7"/>
    <s v="EMP104"/>
    <x v="35"/>
    <x v="4"/>
    <x v="3"/>
    <n v="20"/>
    <x v="0"/>
    <n v="9"/>
    <n v="6"/>
    <n v="70"/>
    <n v="9"/>
    <n v="8.3000000000000007"/>
    <n v="0"/>
    <n v="0.67500000000000004"/>
    <n v="0.61499999999999999"/>
    <n v="0.65100000000000002"/>
    <x v="2"/>
  </r>
  <r>
    <d v="2026-08-16T00:00:00"/>
    <x v="7"/>
    <s v="EMP105"/>
    <x v="36"/>
    <x v="5"/>
    <x v="2"/>
    <n v="22"/>
    <x v="0"/>
    <n v="12"/>
    <n v="15"/>
    <n v="0"/>
    <n v="7"/>
    <n v="8.1"/>
    <n v="1.1000000000000001"/>
    <n v="1"/>
    <n v="0.97299999999999998"/>
    <n v="0.98899999999999999"/>
    <x v="0"/>
  </r>
  <r>
    <d v="2026-08-17T00:00:00"/>
    <x v="7"/>
    <s v="EMP106"/>
    <x v="37"/>
    <x v="5"/>
    <x v="3"/>
    <n v="21"/>
    <x v="0"/>
    <n v="8"/>
    <n v="7"/>
    <n v="1"/>
    <n v="7"/>
    <n v="8"/>
    <n v="1"/>
    <n v="0.89700000000000002"/>
    <n v="0.83499999999999996"/>
    <n v="0.872"/>
    <x v="1"/>
  </r>
  <r>
    <d v="2026-08-18T00:00:00"/>
    <x v="7"/>
    <s v="EMP107"/>
    <x v="38"/>
    <x v="0"/>
    <x v="0"/>
    <n v="22"/>
    <x v="0"/>
    <n v="16"/>
    <n v="18"/>
    <n v="0"/>
    <n v="8"/>
    <n v="7.1"/>
    <n v="0"/>
    <n v="1"/>
    <n v="0.90500000000000003"/>
    <n v="0.96199999999999997"/>
    <x v="0"/>
  </r>
  <r>
    <d v="2026-08-19T00:00:00"/>
    <x v="7"/>
    <s v="EMP108"/>
    <x v="21"/>
    <x v="1"/>
    <x v="2"/>
    <n v="22"/>
    <x v="0"/>
    <n v="16"/>
    <n v="13"/>
    <n v="3"/>
    <n v="8"/>
    <n v="7.7"/>
    <n v="0"/>
    <n v="0.82599999999999996"/>
    <n v="0.73899999999999999"/>
    <n v="0.79100000000000004"/>
    <x v="1"/>
  </r>
  <r>
    <d v="2026-08-20T00:00:00"/>
    <x v="7"/>
    <s v="EMP109"/>
    <x v="22"/>
    <x v="2"/>
    <x v="1"/>
    <n v="20"/>
    <x v="0"/>
    <n v="12"/>
    <n v="11"/>
    <n v="1"/>
    <n v="7"/>
    <n v="7.4"/>
    <n v="0.4"/>
    <n v="0.98"/>
    <n v="0.90600000000000003"/>
    <n v="0.95"/>
    <x v="0"/>
  </r>
  <r>
    <d v="2026-09-15T00:00:00"/>
    <x v="8"/>
    <s v="EMP110"/>
    <x v="23"/>
    <x v="3"/>
    <x v="3"/>
    <n v="20"/>
    <x v="1"/>
    <n v="9"/>
    <n v="8"/>
    <n v="1"/>
    <n v="9"/>
    <n v="10.1"/>
    <n v="1.1000000000000001"/>
    <n v="0.95"/>
    <n v="0.91900000000000004"/>
    <n v="0.93799999999999994"/>
    <x v="0"/>
  </r>
  <r>
    <d v="2026-09-16T00:00:00"/>
    <x v="8"/>
    <s v="EMP111"/>
    <x v="24"/>
    <x v="4"/>
    <x v="0"/>
    <n v="22"/>
    <x v="1"/>
    <n v="10"/>
    <n v="8"/>
    <n v="2"/>
    <n v="7"/>
    <n v="6.5"/>
    <n v="0"/>
    <n v="0.876"/>
    <n v="0.93400000000000005"/>
    <n v="0.89900000000000002"/>
    <x v="1"/>
  </r>
  <r>
    <d v="2026-09-17T00:00:00"/>
    <x v="8"/>
    <s v="EMP112"/>
    <x v="25"/>
    <x v="0"/>
    <x v="1"/>
    <n v="21"/>
    <x v="0"/>
    <n v="10"/>
    <n v="12"/>
    <n v="0"/>
    <n v="8"/>
    <n v="7.8"/>
    <n v="0"/>
    <n v="1"/>
    <n v="0.97099999999999997"/>
    <n v="0.98799999999999999"/>
    <x v="0"/>
  </r>
  <r>
    <d v="2026-09-18T00:00:00"/>
    <x v="8"/>
    <s v="EMP113"/>
    <x v="26"/>
    <x v="1"/>
    <x v="0"/>
    <n v="21"/>
    <x v="0"/>
    <n v="15"/>
    <n v="13"/>
    <n v="2"/>
    <n v="7"/>
    <n v="5.7"/>
    <n v="0"/>
    <n v="0.91700000000000004"/>
    <n v="0.89800000000000002"/>
    <n v="0.90900000000000003"/>
    <x v="0"/>
  </r>
  <r>
    <d v="2026-09-19T00:00:00"/>
    <x v="8"/>
    <s v="EMP114"/>
    <x v="27"/>
    <x v="0"/>
    <x v="3"/>
    <n v="21"/>
    <x v="0"/>
    <n v="11"/>
    <n v="8"/>
    <n v="3"/>
    <n v="9"/>
    <n v="9.9"/>
    <n v="0.9"/>
    <n v="0.67800000000000005"/>
    <n v="0.63"/>
    <n v="0.65900000000000003"/>
    <x v="2"/>
  </r>
  <r>
    <d v="2026-09-20T00:00:00"/>
    <x v="8"/>
    <s v="EMP115"/>
    <x v="28"/>
    <x v="0"/>
    <x v="1"/>
    <n v="20"/>
    <x v="0"/>
    <n v="13"/>
    <n v="15"/>
    <n v="0"/>
    <n v="9"/>
    <n v="10.5"/>
    <n v="1.5"/>
    <n v="1"/>
    <n v="1"/>
    <n v="1"/>
    <x v="0"/>
  </r>
  <r>
    <d v="2026-09-21T00:00:00"/>
    <x v="8"/>
    <s v="EMP116"/>
    <x v="30"/>
    <x v="1"/>
    <x v="2"/>
    <n v="22"/>
    <x v="0"/>
    <n v="8"/>
    <n v="5"/>
    <n v="50"/>
    <n v="8"/>
    <n v="7.9"/>
    <n v="0"/>
    <n v="0.57399999999999995"/>
    <n v="0.66600000000000004"/>
    <n v="0.61099999999999999"/>
    <x v="2"/>
  </r>
  <r>
    <d v="2026-09-22T00:00:00"/>
    <x v="8"/>
    <s v="EMP117"/>
    <x v="39"/>
    <x v="1"/>
    <x v="0"/>
    <n v="21"/>
    <x v="0"/>
    <n v="9"/>
    <n v="10"/>
    <n v="0"/>
    <n v="8"/>
    <n v="9.1"/>
    <n v="1.1000000000000001"/>
    <n v="1"/>
    <n v="1"/>
    <n v="1"/>
    <x v="0"/>
  </r>
  <r>
    <d v="2026-09-23T00:00:00"/>
    <x v="8"/>
    <s v="EMP118"/>
    <x v="31"/>
    <x v="2"/>
    <x v="3"/>
    <n v="21"/>
    <x v="2"/>
    <n v="16"/>
    <n v="13"/>
    <n v="3"/>
    <n v="8"/>
    <n v="8.4"/>
    <n v="0.4"/>
    <n v="0.876"/>
    <n v="0.79800000000000004"/>
    <n v="0.84499999999999997"/>
    <x v="1"/>
  </r>
  <r>
    <d v="2026-09-24T00:00:00"/>
    <x v="8"/>
    <s v="EMP119"/>
    <x v="32"/>
    <x v="3"/>
    <x v="1"/>
    <n v="22"/>
    <x v="1"/>
    <n v="19"/>
    <n v="21"/>
    <n v="0"/>
    <n v="7"/>
    <n v="7.4"/>
    <n v="0.4"/>
    <n v="1"/>
    <n v="0.89500000000000002"/>
    <n v="0.95799999999999996"/>
    <x v="0"/>
  </r>
  <r>
    <d v="2026-09-25T00:00:00"/>
    <x v="8"/>
    <s v="EMP120"/>
    <x v="33"/>
    <x v="3"/>
    <x v="0"/>
    <n v="22"/>
    <x v="0"/>
    <n v="17"/>
    <n v="16"/>
    <n v="1"/>
    <n v="9"/>
    <n v="10.7"/>
    <n v="1.7"/>
    <n v="0.997"/>
    <n v="1"/>
    <n v="0.998"/>
    <x v="0"/>
  </r>
  <r>
    <d v="2026-09-26T00:00:00"/>
    <x v="8"/>
    <s v="EMP121"/>
    <x v="34"/>
    <x v="4"/>
    <x v="3"/>
    <n v="21"/>
    <x v="2"/>
    <n v="12"/>
    <n v="14"/>
    <n v="0"/>
    <n v="8"/>
    <n v="8"/>
    <n v="0"/>
    <n v="1"/>
    <n v="1"/>
    <n v="1"/>
    <x v="0"/>
  </r>
  <r>
    <d v="2026-09-27T00:00:00"/>
    <x v="8"/>
    <s v="EMP122"/>
    <x v="35"/>
    <x v="4"/>
    <x v="1"/>
    <n v="22"/>
    <x v="0"/>
    <n v="11"/>
    <n v="11"/>
    <n v="0"/>
    <n v="9"/>
    <n v="10.7"/>
    <n v="1.7"/>
    <n v="1"/>
    <n v="1"/>
    <n v="1"/>
    <x v="0"/>
  </r>
  <r>
    <d v="2026-10-07T00:00:00"/>
    <x v="9"/>
    <s v="EMP123"/>
    <x v="36"/>
    <x v="5"/>
    <x v="2"/>
    <n v="20"/>
    <x v="2"/>
    <n v="17"/>
    <n v="16"/>
    <n v="1"/>
    <n v="8"/>
    <n v="5.0999999999999996"/>
    <n v="0"/>
    <n v="0.94899999999999995"/>
    <n v="0.82899999999999996"/>
    <n v="0.90100000000000002"/>
    <x v="0"/>
  </r>
  <r>
    <d v="2026-10-08T00:00:00"/>
    <x v="9"/>
    <s v="EMP124"/>
    <x v="37"/>
    <x v="5"/>
    <x v="3"/>
    <n v="21"/>
    <x v="0"/>
    <n v="14"/>
    <n v="17"/>
    <n v="0"/>
    <n v="9"/>
    <n v="9.9"/>
    <n v="0.9"/>
    <n v="1"/>
    <n v="0.95099999999999996"/>
    <n v="0.98"/>
    <x v="0"/>
  </r>
  <r>
    <d v="2026-10-09T00:00:00"/>
    <x v="9"/>
    <s v="EMP125"/>
    <x v="38"/>
    <x v="1"/>
    <x v="0"/>
    <n v="21"/>
    <x v="0"/>
    <n v="18"/>
    <n v="16"/>
    <n v="2"/>
    <n v="9"/>
    <n v="9.1"/>
    <n v="0.1"/>
    <n v="0.88500000000000001"/>
    <n v="0.96299999999999997"/>
    <n v="0.91600000000000004"/>
    <x v="0"/>
  </r>
  <r>
    <d v="2026-10-10T00:00:00"/>
    <x v="9"/>
    <s v="EMP126"/>
    <x v="21"/>
    <x v="2"/>
    <x v="1"/>
    <n v="21"/>
    <x v="0"/>
    <n v="20"/>
    <n v="18"/>
    <n v="2"/>
    <n v="9"/>
    <n v="9.1"/>
    <n v="0.1"/>
    <n v="0.87"/>
    <n v="0.92700000000000005"/>
    <n v="0.89300000000000002"/>
    <x v="1"/>
  </r>
  <r>
    <d v="2026-10-11T00:00:00"/>
    <x v="9"/>
    <s v="EMP127"/>
    <x v="22"/>
    <x v="3"/>
    <x v="3"/>
    <n v="20"/>
    <x v="0"/>
    <n v="8"/>
    <n v="6"/>
    <n v="2"/>
    <n v="8"/>
    <n v="5.8"/>
    <n v="0"/>
    <n v="0.76800000000000002"/>
    <n v="0.81699999999999995"/>
    <n v="0.78800000000000003"/>
    <x v="1"/>
  </r>
  <r>
    <d v="2026-10-12T00:00:00"/>
    <x v="9"/>
    <s v="EMP128"/>
    <x v="23"/>
    <x v="4"/>
    <x v="0"/>
    <n v="21"/>
    <x v="0"/>
    <n v="18"/>
    <n v="19"/>
    <n v="50"/>
    <n v="7"/>
    <n v="6.8"/>
    <n v="0"/>
    <n v="1"/>
    <n v="0.96399999999999997"/>
    <n v="0.98599999999999999"/>
    <x v="0"/>
  </r>
  <r>
    <d v="2026-10-13T00:00:00"/>
    <x v="9"/>
    <s v="EMP129"/>
    <x v="24"/>
    <x v="5"/>
    <x v="1"/>
    <n v="21"/>
    <x v="0"/>
    <n v="10"/>
    <n v="12"/>
    <n v="0"/>
    <n v="9"/>
    <n v="9.4"/>
    <n v="0.4"/>
    <n v="1"/>
    <n v="1"/>
    <n v="1"/>
    <x v="0"/>
  </r>
  <r>
    <d v="2026-10-14T00:00:00"/>
    <x v="9"/>
    <s v="EMP130"/>
    <x v="25"/>
    <x v="0"/>
    <x v="2"/>
    <n v="20"/>
    <x v="0"/>
    <n v="11"/>
    <n v="9"/>
    <n v="2"/>
    <n v="9"/>
    <n v="10.6"/>
    <n v="1.6"/>
    <n v="0.82099999999999995"/>
    <n v="0.71199999999999997"/>
    <n v="0.77700000000000002"/>
    <x v="1"/>
  </r>
  <r>
    <d v="2026-10-20T00:00:00"/>
    <x v="9"/>
    <s v="EMP131"/>
    <x v="26"/>
    <x v="1"/>
    <x v="0"/>
    <n v="20"/>
    <x v="0"/>
    <n v="15"/>
    <n v="13"/>
    <n v="2"/>
    <n v="8"/>
    <n v="7.4"/>
    <n v="0"/>
    <n v="0.89300000000000002"/>
    <n v="0.99"/>
    <n v="0.93200000000000005"/>
    <x v="0"/>
  </r>
  <r>
    <d v="2026-10-21T00:00:00"/>
    <x v="9"/>
    <s v="EMP132"/>
    <x v="28"/>
    <x v="0"/>
    <x v="1"/>
    <n v="21"/>
    <x v="2"/>
    <n v="15"/>
    <n v="13"/>
    <n v="2"/>
    <n v="9"/>
    <n v="8.4"/>
    <n v="0"/>
    <n v="0.92500000000000004"/>
    <n v="0.90400000000000003"/>
    <n v="0.91700000000000004"/>
    <x v="0"/>
  </r>
  <r>
    <d v="2026-10-22T00:00:00"/>
    <x v="9"/>
    <s v="EMP133"/>
    <x v="29"/>
    <x v="0"/>
    <x v="2"/>
    <n v="20"/>
    <x v="1"/>
    <n v="12"/>
    <n v="15"/>
    <n v="0"/>
    <n v="9"/>
    <n v="10"/>
    <n v="1"/>
    <n v="1"/>
    <n v="0.93300000000000005"/>
    <n v="0.97299999999999998"/>
    <x v="0"/>
  </r>
  <r>
    <d v="2026-10-23T00:00:00"/>
    <x v="9"/>
    <s v="EMP134"/>
    <x v="30"/>
    <x v="1"/>
    <x v="0"/>
    <n v="21"/>
    <x v="0"/>
    <n v="19"/>
    <n v="18"/>
    <n v="1"/>
    <n v="7"/>
    <n v="7.4"/>
    <n v="0.4"/>
    <n v="0.91100000000000003"/>
    <n v="0.86099999999999999"/>
    <n v="0.89100000000000001"/>
    <x v="1"/>
  </r>
  <r>
    <d v="2026-10-24T00:00:00"/>
    <x v="9"/>
    <s v="EMP135"/>
    <x v="39"/>
    <x v="1"/>
    <x v="3"/>
    <n v="22"/>
    <x v="0"/>
    <n v="10"/>
    <n v="8"/>
    <n v="2"/>
    <n v="7"/>
    <n v="6.4"/>
    <n v="0"/>
    <n v="0.78100000000000003"/>
    <n v="0.69499999999999995"/>
    <n v="0.747"/>
    <x v="2"/>
  </r>
  <r>
    <d v="2026-10-25T00:00:00"/>
    <x v="9"/>
    <s v="EMP136"/>
    <x v="31"/>
    <x v="2"/>
    <x v="2"/>
    <n v="20"/>
    <x v="0"/>
    <n v="14"/>
    <n v="14"/>
    <n v="0"/>
    <n v="8"/>
    <n v="8.6"/>
    <n v="0.6"/>
    <n v="1"/>
    <n v="0.97099999999999997"/>
    <n v="0.98799999999999999"/>
    <x v="0"/>
  </r>
  <r>
    <d v="2026-10-26T00:00:00"/>
    <x v="9"/>
    <s v="EMP137"/>
    <x v="32"/>
    <x v="2"/>
    <x v="1"/>
    <n v="20"/>
    <x v="0"/>
    <n v="14"/>
    <n v="17"/>
    <n v="0"/>
    <n v="9"/>
    <n v="9.1"/>
    <n v="0.1"/>
    <n v="1"/>
    <n v="0.88400000000000001"/>
    <n v="0.95399999999999996"/>
    <x v="0"/>
  </r>
  <r>
    <d v="2026-10-27T00:00:00"/>
    <x v="9"/>
    <s v="EMP138"/>
    <x v="34"/>
    <x v="3"/>
    <x v="0"/>
    <n v="22"/>
    <x v="0"/>
    <n v="15"/>
    <n v="12"/>
    <n v="3"/>
    <n v="8"/>
    <n v="9.1"/>
    <n v="1.1000000000000001"/>
    <n v="0.76800000000000002"/>
    <n v="0.73399999999999999"/>
    <n v="0.754"/>
    <x v="1"/>
  </r>
  <r>
    <d v="2026-10-28T00:00:00"/>
    <x v="9"/>
    <s v="EMP139"/>
    <x v="35"/>
    <x v="3"/>
    <x v="1"/>
    <n v="21"/>
    <x v="0"/>
    <n v="12"/>
    <n v="12"/>
    <n v="0"/>
    <n v="8"/>
    <n v="7.6"/>
    <n v="0"/>
    <n v="0.92500000000000004"/>
    <n v="0.879"/>
    <n v="0.90700000000000003"/>
    <x v="0"/>
  </r>
  <r>
    <d v="2026-10-29T00:00:00"/>
    <x v="9"/>
    <s v="EMP140"/>
    <x v="36"/>
    <x v="4"/>
    <x v="2"/>
    <n v="22"/>
    <x v="0"/>
    <n v="19"/>
    <n v="17"/>
    <n v="2"/>
    <n v="8"/>
    <n v="7.6"/>
    <n v="0"/>
    <n v="0.96199999999999997"/>
    <n v="1"/>
    <n v="0.97699999999999998"/>
    <x v="0"/>
  </r>
  <r>
    <d v="2026-10-30T00:00:00"/>
    <x v="9"/>
    <s v="EMP141"/>
    <x v="37"/>
    <x v="4"/>
    <x v="3"/>
    <n v="22"/>
    <x v="0"/>
    <n v="14"/>
    <n v="15"/>
    <n v="30"/>
    <n v="9"/>
    <n v="7.4"/>
    <n v="0"/>
    <n v="1"/>
    <n v="0.89800000000000002"/>
    <n v="0.95899999999999996"/>
    <x v="0"/>
  </r>
  <r>
    <d v="2026-11-05T00:00:00"/>
    <x v="10"/>
    <s v="EMP142"/>
    <x v="40"/>
    <x v="5"/>
    <x v="0"/>
    <n v="21"/>
    <x v="0"/>
    <n v="15"/>
    <n v="13"/>
    <n v="2"/>
    <n v="7"/>
    <n v="7.3"/>
    <n v="0.3"/>
    <n v="0.82799999999999996"/>
    <n v="0.78"/>
    <n v="0.80900000000000005"/>
    <x v="1"/>
  </r>
  <r>
    <d v="2026-11-06T00:00:00"/>
    <x v="10"/>
    <s v="EMP143"/>
    <x v="38"/>
    <x v="0"/>
    <x v="2"/>
    <n v="21"/>
    <x v="0"/>
    <n v="13"/>
    <n v="16"/>
    <n v="0"/>
    <n v="8"/>
    <n v="8.3000000000000007"/>
    <n v="0.3"/>
    <n v="1"/>
    <n v="1"/>
    <n v="1"/>
    <x v="0"/>
  </r>
  <r>
    <d v="2026-11-07T00:00:00"/>
    <x v="10"/>
    <s v="EMP144"/>
    <x v="21"/>
    <x v="1"/>
    <x v="1"/>
    <n v="21"/>
    <x v="0"/>
    <n v="9"/>
    <n v="9"/>
    <n v="0"/>
    <n v="7"/>
    <n v="7"/>
    <n v="0"/>
    <n v="1"/>
    <n v="0.89100000000000001"/>
    <n v="0.95599999999999996"/>
    <x v="0"/>
  </r>
  <r>
    <d v="2026-11-08T00:00:00"/>
    <x v="10"/>
    <s v="EMP145"/>
    <x v="22"/>
    <x v="2"/>
    <x v="3"/>
    <n v="21"/>
    <x v="0"/>
    <n v="18"/>
    <n v="15"/>
    <n v="3"/>
    <n v="9"/>
    <n v="8.6999999999999993"/>
    <n v="0"/>
    <n v="0.76"/>
    <n v="0.64700000000000002"/>
    <n v="0.71499999999999997"/>
    <x v="2"/>
  </r>
  <r>
    <d v="2026-11-09T00:00:00"/>
    <x v="10"/>
    <s v="EMP146"/>
    <x v="24"/>
    <x v="3"/>
    <x v="3"/>
    <n v="20"/>
    <x v="2"/>
    <n v="10"/>
    <n v="12"/>
    <n v="0"/>
    <n v="9"/>
    <n v="9"/>
    <n v="0"/>
    <n v="1"/>
    <n v="0.93300000000000005"/>
    <n v="0.97299999999999998"/>
    <x v="0"/>
  </r>
  <r>
    <d v="2026-11-10T00:00:00"/>
    <x v="10"/>
    <s v="EMP147"/>
    <x v="41"/>
    <x v="4"/>
    <x v="1"/>
    <n v="21"/>
    <x v="0"/>
    <n v="11"/>
    <n v="8"/>
    <n v="50"/>
    <n v="7"/>
    <n v="5.8"/>
    <n v="0"/>
    <n v="0.753"/>
    <n v="0.71099999999999997"/>
    <n v="0.73599999999999999"/>
    <x v="2"/>
  </r>
  <r>
    <d v="2026-11-11T00:00:00"/>
    <x v="10"/>
    <s v="EMP148"/>
    <x v="26"/>
    <x v="5"/>
    <x v="2"/>
    <n v="21"/>
    <x v="0"/>
    <n v="19"/>
    <n v="16"/>
    <n v="3"/>
    <n v="9"/>
    <n v="9.9"/>
    <n v="0.9"/>
    <n v="0.86699999999999999"/>
    <n v="0.88900000000000001"/>
    <n v="0.876"/>
    <x v="1"/>
  </r>
  <r>
    <d v="2026-11-12T00:00:00"/>
    <x v="10"/>
    <s v="EMP149"/>
    <x v="27"/>
    <x v="1"/>
    <x v="3"/>
    <n v="20"/>
    <x v="0"/>
    <n v="19"/>
    <n v="18"/>
    <n v="1"/>
    <n v="7"/>
    <n v="5.7"/>
    <n v="0"/>
    <n v="0.90700000000000003"/>
    <n v="0.82899999999999996"/>
    <n v="0.876"/>
    <x v="1"/>
  </r>
  <r>
    <d v="2026-11-13T00:00:00"/>
    <x v="10"/>
    <s v="EMP150"/>
    <x v="28"/>
    <x v="0"/>
    <x v="0"/>
    <n v="21"/>
    <x v="0"/>
    <n v="14"/>
    <n v="12"/>
    <n v="2"/>
    <n v="8"/>
    <n v="8.1999999999999993"/>
    <n v="0.2"/>
    <n v="0.85099999999999998"/>
    <n v="0.92300000000000004"/>
    <n v="0.88"/>
    <x v="1"/>
  </r>
  <r>
    <d v="2026-11-14T00:00:00"/>
    <x v="10"/>
    <s v="EMP151"/>
    <x v="29"/>
    <x v="0"/>
    <x v="2"/>
    <n v="20"/>
    <x v="0"/>
    <n v="20"/>
    <n v="23"/>
    <n v="0"/>
    <n v="9"/>
    <n v="6.8"/>
    <n v="0"/>
    <n v="1"/>
    <n v="1"/>
    <n v="1"/>
    <x v="0"/>
  </r>
  <r>
    <d v="2026-11-15T00:00:00"/>
    <x v="10"/>
    <s v="EMP152"/>
    <x v="39"/>
    <x v="1"/>
    <x v="3"/>
    <n v="20"/>
    <x v="0"/>
    <n v="8"/>
    <n v="6"/>
    <n v="2"/>
    <n v="8"/>
    <n v="8.1999999999999993"/>
    <n v="0.2"/>
    <n v="0.67"/>
    <n v="0.63600000000000001"/>
    <n v="0.65600000000000003"/>
    <x v="2"/>
  </r>
  <r>
    <d v="2026-11-16T00:00:00"/>
    <x v="10"/>
    <s v="EMP153"/>
    <x v="31"/>
    <x v="1"/>
    <x v="0"/>
    <n v="21"/>
    <x v="0"/>
    <n v="14"/>
    <n v="16"/>
    <n v="0"/>
    <n v="9"/>
    <n v="9.8000000000000007"/>
    <n v="0.8"/>
    <n v="1"/>
    <n v="1"/>
    <n v="1"/>
    <x v="0"/>
  </r>
  <r>
    <d v="2026-11-17T00:00:00"/>
    <x v="10"/>
    <s v="EMP154"/>
    <x v="32"/>
    <x v="2"/>
    <x v="1"/>
    <n v="22"/>
    <x v="0"/>
    <n v="10"/>
    <n v="8"/>
    <n v="2"/>
    <n v="8"/>
    <n v="8.1999999999999993"/>
    <n v="0.2"/>
    <n v="0.755"/>
    <n v="0.64800000000000002"/>
    <n v="0.71199999999999997"/>
    <x v="2"/>
  </r>
  <r>
    <d v="2026-11-18T00:00:00"/>
    <x v="10"/>
    <s v="EMP155"/>
    <x v="33"/>
    <x v="2"/>
    <x v="2"/>
    <n v="22"/>
    <x v="2"/>
    <n v="8"/>
    <n v="10"/>
    <n v="0"/>
    <n v="8"/>
    <n v="7.9"/>
    <n v="0"/>
    <n v="1"/>
    <n v="1"/>
    <n v="1"/>
    <x v="0"/>
  </r>
  <r>
    <d v="2026-11-19T00:00:00"/>
    <x v="10"/>
    <s v="EMP156"/>
    <x v="34"/>
    <x v="3"/>
    <x v="0"/>
    <n v="22"/>
    <x v="2"/>
    <n v="10"/>
    <n v="7"/>
    <n v="3"/>
    <n v="9"/>
    <n v="8.6999999999999993"/>
    <n v="0"/>
    <n v="0.63300000000000001"/>
    <n v="0.55400000000000005"/>
    <n v="0.60099999999999998"/>
    <x v="2"/>
  </r>
  <r>
    <d v="2026-11-20T00:00:00"/>
    <x v="10"/>
    <s v="EMP157"/>
    <x v="35"/>
    <x v="3"/>
    <x v="3"/>
    <n v="22"/>
    <x v="0"/>
    <n v="18"/>
    <n v="21"/>
    <n v="0"/>
    <n v="7"/>
    <n v="5.4"/>
    <n v="0"/>
    <n v="1"/>
    <n v="1"/>
    <n v="1"/>
    <x v="0"/>
  </r>
  <r>
    <d v="2026-12-02T00:00:00"/>
    <x v="11"/>
    <s v="EMP158"/>
    <x v="36"/>
    <x v="4"/>
    <x v="1"/>
    <n v="22"/>
    <x v="0"/>
    <n v="17"/>
    <n v="18"/>
    <n v="0"/>
    <n v="7"/>
    <n v="6.2"/>
    <n v="0"/>
    <n v="1"/>
    <n v="0.97199999999999998"/>
    <n v="0.98899999999999999"/>
    <x v="0"/>
  </r>
  <r>
    <d v="2026-12-03T00:00:00"/>
    <x v="11"/>
    <s v="EMP159"/>
    <x v="42"/>
    <x v="5"/>
    <x v="0"/>
    <n v="20"/>
    <x v="0"/>
    <n v="14"/>
    <n v="12"/>
    <n v="2"/>
    <n v="9"/>
    <n v="10.199999999999999"/>
    <n v="1.2"/>
    <n v="0.88"/>
    <n v="0.86099999999999999"/>
    <n v="0.872"/>
    <x v="1"/>
  </r>
  <r>
    <d v="2026-12-04T00:00:00"/>
    <x v="11"/>
    <s v="EMP160"/>
    <x v="38"/>
    <x v="5"/>
    <x v="3"/>
    <n v="20"/>
    <x v="0"/>
    <n v="15"/>
    <n v="16"/>
    <n v="0"/>
    <n v="9"/>
    <n v="9.4"/>
    <n v="0.4"/>
    <n v="1"/>
    <n v="0.89600000000000002"/>
    <n v="0.95799999999999996"/>
    <x v="0"/>
  </r>
  <r>
    <d v="2026-12-05T00:00:00"/>
    <x v="11"/>
    <s v="EMP161"/>
    <x v="21"/>
    <x v="0"/>
    <x v="2"/>
    <n v="20"/>
    <x v="2"/>
    <n v="12"/>
    <n v="10"/>
    <n v="2"/>
    <n v="8"/>
    <n v="6.1"/>
    <n v="0"/>
    <n v="0.89400000000000002"/>
    <n v="0.96699999999999997"/>
    <n v="0.92300000000000004"/>
    <x v="0"/>
  </r>
  <r>
    <d v="2026-12-06T00:00:00"/>
    <x v="11"/>
    <s v="EMP162"/>
    <x v="43"/>
    <x v="1"/>
    <x v="1"/>
    <n v="21"/>
    <x v="0"/>
    <n v="10"/>
    <n v="10"/>
    <n v="0"/>
    <n v="9"/>
    <n v="9.4"/>
    <n v="0.4"/>
    <n v="1"/>
    <n v="1"/>
    <n v="1"/>
    <x v="0"/>
  </r>
  <r>
    <d v="2026-12-07T00:00:00"/>
    <x v="11"/>
    <s v="EMP163"/>
    <x v="44"/>
    <x v="2"/>
    <x v="0"/>
    <n v="22"/>
    <x v="2"/>
    <n v="8"/>
    <n v="10"/>
    <n v="0"/>
    <n v="9"/>
    <n v="8.6"/>
    <n v="0"/>
    <n v="1"/>
    <n v="1"/>
    <n v="1"/>
    <x v="0"/>
  </r>
  <r>
    <d v="2026-12-08T00:00:00"/>
    <x v="11"/>
    <s v="EMP164"/>
    <x v="45"/>
    <x v="1"/>
    <x v="3"/>
    <n v="20"/>
    <x v="0"/>
    <n v="9"/>
    <n v="6"/>
    <n v="70"/>
    <n v="9"/>
    <n v="8.3000000000000007"/>
    <n v="0"/>
    <n v="0.67500000000000004"/>
    <n v="0.61499999999999999"/>
    <n v="0.65100000000000002"/>
    <x v="2"/>
  </r>
  <r>
    <d v="2026-12-09T00:00:00"/>
    <x v="11"/>
    <s v="EMP165"/>
    <x v="26"/>
    <x v="2"/>
    <x v="2"/>
    <n v="22"/>
    <x v="0"/>
    <n v="12"/>
    <n v="15"/>
    <n v="0"/>
    <n v="7"/>
    <n v="8.1"/>
    <n v="1.1000000000000001"/>
    <n v="1"/>
    <n v="0.97299999999999998"/>
    <n v="0.98899999999999999"/>
    <x v="0"/>
  </r>
  <r>
    <d v="2026-12-10T00:00:00"/>
    <x v="11"/>
    <s v="EMP166"/>
    <x v="46"/>
    <x v="3"/>
    <x v="3"/>
    <n v="21"/>
    <x v="0"/>
    <n v="8"/>
    <n v="7"/>
    <n v="1"/>
    <n v="7"/>
    <n v="8"/>
    <n v="1"/>
    <n v="0.89700000000000002"/>
    <n v="0.83499999999999996"/>
    <n v="0.872"/>
    <x v="1"/>
  </r>
  <r>
    <d v="2026-12-11T00:00:00"/>
    <x v="11"/>
    <s v="EMP167"/>
    <x v="47"/>
    <x v="4"/>
    <x v="0"/>
    <n v="22"/>
    <x v="0"/>
    <n v="16"/>
    <n v="18"/>
    <n v="0"/>
    <n v="8"/>
    <n v="7.1"/>
    <n v="0"/>
    <n v="1"/>
    <n v="0.90500000000000003"/>
    <n v="0.96199999999999997"/>
    <x v="0"/>
  </r>
  <r>
    <d v="2026-12-12T00:00:00"/>
    <x v="11"/>
    <s v="EMP168"/>
    <x v="48"/>
    <x v="5"/>
    <x v="2"/>
    <n v="22"/>
    <x v="0"/>
    <n v="16"/>
    <n v="13"/>
    <n v="3"/>
    <n v="8"/>
    <n v="7.7"/>
    <n v="0"/>
    <n v="0.82599999999999996"/>
    <n v="0.73899999999999999"/>
    <n v="0.79100000000000004"/>
    <x v="1"/>
  </r>
  <r>
    <d v="2026-12-13T00:00:00"/>
    <x v="11"/>
    <s v="EMP169"/>
    <x v="30"/>
    <x v="1"/>
    <x v="1"/>
    <n v="20"/>
    <x v="0"/>
    <n v="12"/>
    <n v="11"/>
    <n v="1"/>
    <n v="7"/>
    <n v="7.4"/>
    <n v="0.4"/>
    <n v="0.98"/>
    <n v="0.90600000000000003"/>
    <n v="0.95"/>
    <x v="0"/>
  </r>
  <r>
    <d v="2026-12-14T00:00:00"/>
    <x v="11"/>
    <s v="EMP170"/>
    <x v="39"/>
    <x v="0"/>
    <x v="1"/>
    <n v="22"/>
    <x v="0"/>
    <n v="10"/>
    <n v="8"/>
    <n v="2"/>
    <n v="8"/>
    <n v="8.1999999999999993"/>
    <n v="0.2"/>
    <n v="0.755"/>
    <n v="0.64800000000000002"/>
    <n v="0.71199999999999997"/>
    <x v="2"/>
  </r>
  <r>
    <d v="2026-12-15T00:00:00"/>
    <x v="11"/>
    <s v="EMP171"/>
    <x v="31"/>
    <x v="0"/>
    <x v="2"/>
    <n v="22"/>
    <x v="2"/>
    <n v="8"/>
    <n v="10"/>
    <n v="0"/>
    <n v="8"/>
    <n v="7.9"/>
    <n v="0"/>
    <n v="1"/>
    <n v="1"/>
    <n v="1"/>
    <x v="0"/>
  </r>
  <r>
    <d v="2026-12-16T00:00:00"/>
    <x v="11"/>
    <s v="EMP172"/>
    <x v="49"/>
    <x v="1"/>
    <x v="0"/>
    <n v="22"/>
    <x v="2"/>
    <n v="10"/>
    <n v="7"/>
    <n v="3"/>
    <n v="9"/>
    <n v="8.6999999999999993"/>
    <n v="0"/>
    <n v="0.63300000000000001"/>
    <n v="0.55400000000000005"/>
    <n v="0.60099999999999998"/>
    <x v="2"/>
  </r>
  <r>
    <d v="2026-12-17T00:00:00"/>
    <x v="11"/>
    <s v="EMP173"/>
    <x v="50"/>
    <x v="1"/>
    <x v="3"/>
    <n v="22"/>
    <x v="0"/>
    <n v="18"/>
    <n v="21"/>
    <n v="0"/>
    <n v="7"/>
    <n v="5.4"/>
    <n v="0"/>
    <n v="1"/>
    <n v="1"/>
    <n v="1"/>
    <x v="0"/>
  </r>
  <r>
    <d v="2026-12-18T00:00:00"/>
    <x v="11"/>
    <s v="EMP174"/>
    <x v="35"/>
    <x v="2"/>
    <x v="1"/>
    <n v="22"/>
    <x v="0"/>
    <n v="17"/>
    <n v="18"/>
    <n v="0"/>
    <n v="7"/>
    <n v="6.2"/>
    <n v="0"/>
    <n v="1"/>
    <n v="0.97199999999999998"/>
    <n v="0.98899999999999999"/>
    <x v="0"/>
  </r>
  <r>
    <d v="2026-12-19T00:00:00"/>
    <x v="11"/>
    <s v="EMP175"/>
    <x v="36"/>
    <x v="2"/>
    <x v="0"/>
    <n v="20"/>
    <x v="0"/>
    <n v="14"/>
    <n v="12"/>
    <n v="2"/>
    <n v="9"/>
    <n v="10.199999999999999"/>
    <n v="1.2"/>
    <n v="0.88"/>
    <n v="0.86099999999999999"/>
    <n v="0.872"/>
    <x v="1"/>
  </r>
  <r>
    <d v="2026-12-20T00:00:00"/>
    <x v="11"/>
    <s v="EMP176"/>
    <x v="37"/>
    <x v="3"/>
    <x v="3"/>
    <n v="20"/>
    <x v="0"/>
    <n v="15"/>
    <n v="16"/>
    <n v="0"/>
    <n v="9"/>
    <n v="9.4"/>
    <n v="0.4"/>
    <n v="1"/>
    <n v="0.89600000000000002"/>
    <n v="0.95799999999999996"/>
    <x v="0"/>
  </r>
  <r>
    <d v="2026-12-21T00:00:00"/>
    <x v="11"/>
    <s v="EMP177"/>
    <x v="42"/>
    <x v="3"/>
    <x v="0"/>
    <n v="21"/>
    <x v="0"/>
    <n v="15"/>
    <n v="13"/>
    <n v="2"/>
    <n v="7"/>
    <n v="7.3"/>
    <n v="0.3"/>
    <n v="0.82799999999999996"/>
    <n v="0.78"/>
    <n v="0.80900000000000005"/>
    <x v="1"/>
  </r>
  <r>
    <d v="2026-12-22T00:00:00"/>
    <x v="11"/>
    <s v="EMP178"/>
    <x v="38"/>
    <x v="4"/>
    <x v="2"/>
    <n v="21"/>
    <x v="0"/>
    <n v="13"/>
    <n v="16"/>
    <n v="0"/>
    <n v="8"/>
    <n v="8.3000000000000007"/>
    <n v="0.3"/>
    <n v="1"/>
    <n v="1"/>
    <n v="1"/>
    <x v="0"/>
  </r>
  <r>
    <d v="2026-12-23T00:00:00"/>
    <x v="11"/>
    <s v="EMP179"/>
    <x v="51"/>
    <x v="1"/>
    <x v="0"/>
    <n v="22"/>
    <x v="2"/>
    <n v="10"/>
    <n v="7"/>
    <n v="3"/>
    <n v="9"/>
    <n v="8.6999999999999993"/>
    <n v="0"/>
    <n v="0.63300000000000001"/>
    <n v="0.55400000000000005"/>
    <n v="0.60099999999999998"/>
    <x v="2"/>
  </r>
  <r>
    <d v="2026-12-24T00:00:00"/>
    <x v="11"/>
    <s v="EMP180"/>
    <x v="52"/>
    <x v="5"/>
    <x v="3"/>
    <n v="20"/>
    <x v="0"/>
    <n v="15"/>
    <n v="12"/>
    <n v="0"/>
    <n v="8"/>
    <n v="8.9"/>
    <n v="1.2"/>
    <n v="1"/>
    <n v="1"/>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569289-20FB-4816-8AF9-8EA7C375FEF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D14:F27" firstHeaderRow="0" firstDataRow="1" firstDataCol="1"/>
  <pivotFields count="18">
    <pivotField numFmtId="15" showAll="0"/>
    <pivotField axis="axisRow" showAll="0">
      <items count="13">
        <item x="0"/>
        <item x="1"/>
        <item x="2"/>
        <item x="3"/>
        <item x="4"/>
        <item x="5"/>
        <item x="6"/>
        <item x="7"/>
        <item x="8"/>
        <item x="9"/>
        <item x="10"/>
        <item x="11"/>
        <item t="default"/>
      </items>
    </pivotField>
    <pivotField showAll="0"/>
    <pivotField showAll="0"/>
    <pivotField showAll="0">
      <items count="7">
        <item x="2"/>
        <item x="3"/>
        <item x="5"/>
        <item x="1"/>
        <item x="4"/>
        <item x="0"/>
        <item t="default"/>
      </items>
    </pivotField>
    <pivotField showAll="0">
      <items count="5">
        <item x="0"/>
        <item x="2"/>
        <item x="3"/>
        <item x="1"/>
        <item t="default"/>
      </items>
    </pivotField>
    <pivotField showAll="0"/>
    <pivotField showAll="0"/>
    <pivotField showAll="0"/>
    <pivotField dataField="1" showAll="0"/>
    <pivotField dataField="1" showAll="0"/>
    <pivotField showAll="0"/>
    <pivotField showAll="0"/>
    <pivotField showAll="0"/>
    <pivotField numFmtId="10" showAll="0"/>
    <pivotField numFmtId="10" showAll="0"/>
    <pivotField numFmtId="10" showAll="0"/>
    <pivotField showAll="0">
      <items count="4">
        <item x="0"/>
        <item x="2"/>
        <item x="1"/>
        <item t="default"/>
      </items>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Completed Tasks" fld="9" baseField="0" baseItem="0"/>
    <dataField name="Sum of Pending Tasks" fld="10" baseField="1" baseItem="0"/>
  </dataFields>
  <formats count="4">
    <format dxfId="604">
      <pivotArea outline="0" collapsedLevelsAreSubtotals="1" fieldPosition="0"/>
    </format>
    <format dxfId="603">
      <pivotArea dataOnly="0" labelOnly="1" outline="0" axis="axisValues" fieldPosition="0"/>
    </format>
    <format dxfId="602">
      <pivotArea dataOnly="0" outline="0" fieldPosition="0">
        <references count="1">
          <reference field="4294967294" count="1">
            <x v="0"/>
          </reference>
        </references>
      </pivotArea>
    </format>
    <format dxfId="601">
      <pivotArea dataOnly="0" outline="0" fieldPosition="0">
        <references count="1">
          <reference field="4294967294" count="1">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F3C0C6-2B8E-43B5-8139-0F91CB77012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Employee Name">
  <location ref="J3:K9" firstHeaderRow="1" firstDataRow="1" firstDataCol="1"/>
  <pivotFields count="18">
    <pivotField numFmtId="15" showAll="0"/>
    <pivotField showAll="0"/>
    <pivotField showAll="0"/>
    <pivotField axis="axisRow" showAll="0" measureFilter="1">
      <items count="54">
        <item x="51"/>
        <item x="45"/>
        <item x="43"/>
        <item x="41"/>
        <item x="46"/>
        <item x="44"/>
        <item x="49"/>
        <item x="33"/>
        <item x="36"/>
        <item x="35"/>
        <item x="12"/>
        <item x="15"/>
        <item x="14"/>
        <item x="11"/>
        <item x="32"/>
        <item x="39"/>
        <item x="27"/>
        <item x="47"/>
        <item x="19"/>
        <item x="6"/>
        <item x="9"/>
        <item x="18"/>
        <item x="21"/>
        <item x="0"/>
        <item x="3"/>
        <item x="10"/>
        <item x="8"/>
        <item x="29"/>
        <item x="20"/>
        <item x="40"/>
        <item x="42"/>
        <item x="24"/>
        <item x="31"/>
        <item x="5"/>
        <item x="26"/>
        <item x="22"/>
        <item x="50"/>
        <item x="34"/>
        <item x="1"/>
        <item x="13"/>
        <item x="25"/>
        <item x="4"/>
        <item x="16"/>
        <item x="37"/>
        <item x="30"/>
        <item x="2"/>
        <item x="23"/>
        <item x="48"/>
        <item x="28"/>
        <item x="7"/>
        <item x="17"/>
        <item x="38"/>
        <item x="52"/>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numFmtId="10" showAll="0"/>
    <pivotField dataField="1" numFmtId="10" showAll="0"/>
    <pivotField showAll="0">
      <items count="4">
        <item x="0"/>
        <item x="2"/>
        <item x="1"/>
        <item t="default"/>
      </items>
    </pivotField>
  </pivotFields>
  <rowFields count="1">
    <field x="3"/>
  </rowFields>
  <rowItems count="6">
    <i>
      <x v="2"/>
    </i>
    <i>
      <x v="5"/>
    </i>
    <i>
      <x v="7"/>
    </i>
    <i>
      <x v="36"/>
    </i>
    <i>
      <x v="52"/>
    </i>
    <i t="grand">
      <x/>
    </i>
  </rowItems>
  <colItems count="1">
    <i/>
  </colItems>
  <dataFields count="1">
    <dataField name="Average of Achievement %" fld="16" subtotal="average" baseField="3" baseItem="0"/>
  </dataFields>
  <formats count="2">
    <format dxfId="606">
      <pivotArea outline="0" collapsedLevelsAreSubtotals="1" fieldPosition="0"/>
    </format>
    <format dxfId="605">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C327E7-0FD0-47FF-8015-65625B1A26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G3:H8" firstHeaderRow="1" firstDataRow="1" firstDataCol="1"/>
  <pivotFields count="18">
    <pivotField numFmtId="15" showAll="0"/>
    <pivotField showAll="0"/>
    <pivotField showAll="0"/>
    <pivotField showAll="0"/>
    <pivotField showAll="0">
      <items count="7">
        <item x="2"/>
        <item x="3"/>
        <item x="5"/>
        <item x="1"/>
        <item x="4"/>
        <item x="0"/>
        <item t="default"/>
      </items>
    </pivotField>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dataField="1" numFmtId="10" showAll="0"/>
    <pivotField numFmtId="10" showAll="0"/>
    <pivotField showAll="0">
      <items count="4">
        <item x="0"/>
        <item x="2"/>
        <item x="1"/>
        <item t="default"/>
      </items>
    </pivotField>
  </pivotFields>
  <rowFields count="1">
    <field x="5"/>
  </rowFields>
  <rowItems count="5">
    <i>
      <x/>
    </i>
    <i>
      <x v="1"/>
    </i>
    <i>
      <x v="2"/>
    </i>
    <i>
      <x v="3"/>
    </i>
    <i t="grand">
      <x/>
    </i>
  </rowItems>
  <colItems count="1">
    <i/>
  </colItems>
  <dataFields count="1">
    <dataField name="Average of Quality Score %" fld="15" subtotal="average" baseField="5" baseItem="0"/>
  </dataFields>
  <formats count="2">
    <format dxfId="608">
      <pivotArea outline="0" collapsedLevelsAreSubtotals="1" fieldPosition="0"/>
    </format>
    <format dxfId="6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F814EE-705D-475A-9487-E682D8E2483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3:B10" firstHeaderRow="1" firstDataRow="1" firstDataCol="1"/>
  <pivotFields count="18">
    <pivotField numFmtId="15" showAll="0"/>
    <pivotField showAll="0"/>
    <pivotField showAll="0"/>
    <pivotField showAll="0"/>
    <pivotField axis="axisRow"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numFmtId="10" showAll="0"/>
    <pivotField dataField="1" numFmtId="10" showAll="0"/>
    <pivotField showAll="0">
      <items count="4">
        <item x="0"/>
        <item x="2"/>
        <item x="1"/>
        <item t="default"/>
      </items>
    </pivotField>
  </pivotFields>
  <rowFields count="1">
    <field x="4"/>
  </rowFields>
  <rowItems count="7">
    <i>
      <x/>
    </i>
    <i>
      <x v="1"/>
    </i>
    <i>
      <x v="2"/>
    </i>
    <i>
      <x v="3"/>
    </i>
    <i>
      <x v="4"/>
    </i>
    <i>
      <x v="5"/>
    </i>
    <i t="grand">
      <x/>
    </i>
  </rowItems>
  <colItems count="1">
    <i/>
  </colItems>
  <dataFields count="1">
    <dataField name="Average of Achievement %" fld="16" subtotal="average" baseField="4" baseItem="0" numFmtId="10"/>
  </dataFields>
  <formats count="2">
    <format dxfId="610">
      <pivotArea outline="0" collapsedLevelsAreSubtotals="1" fieldPosition="0"/>
    </format>
    <format dxfId="60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DA826D-4844-4C73-B560-9ADE9AECCD2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erformance Status">
  <location ref="H21:I25" firstHeaderRow="1" firstDataRow="1" firstDataCol="1"/>
  <pivotFields count="18">
    <pivotField numFmtId="15" showAll="0"/>
    <pivotField showAll="0"/>
    <pivotField dataField="1" showAll="0"/>
    <pivotField showAll="0"/>
    <pivotField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numFmtId="10" showAll="0"/>
    <pivotField numFmtId="10" showAll="0"/>
    <pivotField axis="axisRow" showAll="0">
      <items count="4">
        <item x="0"/>
        <item x="2"/>
        <item x="1"/>
        <item t="default"/>
      </items>
    </pivotField>
  </pivotFields>
  <rowFields count="1">
    <field x="17"/>
  </rowFields>
  <rowItems count="4">
    <i>
      <x/>
    </i>
    <i>
      <x v="1"/>
    </i>
    <i>
      <x v="2"/>
    </i>
    <i t="grand">
      <x/>
    </i>
  </rowItems>
  <colItems count="1">
    <i/>
  </colItems>
  <dataFields count="1">
    <dataField name="Count of Emp ID" fld="2" subtotal="count" baseField="0" baseItem="0"/>
  </dataFields>
  <formats count="3">
    <format dxfId="613">
      <pivotArea dataOnly="0" outline="0" axis="axisValues" fieldPosition="0"/>
    </format>
    <format dxfId="612">
      <pivotArea outline="0" collapsedLevelsAreSubtotals="1" fieldPosition="0"/>
    </format>
    <format dxfId="6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C0A4D7-BCED-478F-BC82-7435C436E40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A14:B27" firstHeaderRow="1" firstDataRow="1" firstDataCol="1"/>
  <pivotFields count="18">
    <pivotField numFmtId="15" showAll="0"/>
    <pivotField axis="axisRow" showAll="0">
      <items count="13">
        <item x="0"/>
        <item x="1"/>
        <item x="2"/>
        <item x="3"/>
        <item x="4"/>
        <item x="5"/>
        <item x="6"/>
        <item x="7"/>
        <item x="8"/>
        <item x="9"/>
        <item x="10"/>
        <item x="11"/>
        <item t="default"/>
      </items>
    </pivotField>
    <pivotField showAll="0"/>
    <pivotField showAll="0"/>
    <pivotField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dataField="1" numFmtId="10" showAll="0"/>
    <pivotField numFmtId="10" showAll="0"/>
    <pivotField numFmtId="10" showAll="0"/>
    <pivotField showAll="0">
      <items count="4">
        <item x="0"/>
        <item x="2"/>
        <item x="1"/>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Average of Productivity %" fld="14" subtotal="average" baseField="1" baseItem="0"/>
  </dataFields>
  <formats count="2">
    <format dxfId="615">
      <pivotArea outline="0" collapsedLevelsAreSubtotals="1" fieldPosition="0"/>
    </format>
    <format dxfId="614">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B39D50-23F8-4F45-B64E-E840F26D133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andance Status">
  <location ref="H14:I18" firstHeaderRow="1" firstDataRow="1" firstDataCol="1"/>
  <pivotFields count="18">
    <pivotField numFmtId="15" showAll="0"/>
    <pivotField showAll="0"/>
    <pivotField dataField="1" showAll="0"/>
    <pivotField showAll="0"/>
    <pivotField showAll="0">
      <items count="7">
        <item x="2"/>
        <item x="3"/>
        <item x="5"/>
        <item x="1"/>
        <item x="4"/>
        <item x="0"/>
        <item t="default"/>
      </items>
    </pivotField>
    <pivotField showAll="0">
      <items count="5">
        <item x="0"/>
        <item x="2"/>
        <item x="3"/>
        <item x="1"/>
        <item t="default"/>
      </items>
    </pivotField>
    <pivotField showAll="0"/>
    <pivotField axis="axisRow" showAll="0">
      <items count="4">
        <item sd="0" x="1"/>
        <item sd="0" x="0"/>
        <item sd="0" x="2"/>
        <item t="default"/>
      </items>
    </pivotField>
    <pivotField showAll="0"/>
    <pivotField showAll="0"/>
    <pivotField showAll="0"/>
    <pivotField showAll="0"/>
    <pivotField showAll="0"/>
    <pivotField showAll="0"/>
    <pivotField numFmtId="10" showAll="0"/>
    <pivotField numFmtId="10" showAll="0"/>
    <pivotField numFmtId="10" showAll="0"/>
    <pivotField showAll="0">
      <items count="4">
        <item x="0"/>
        <item x="2"/>
        <item x="1"/>
        <item t="default"/>
      </items>
    </pivotField>
  </pivotFields>
  <rowFields count="1">
    <field x="7"/>
  </rowFields>
  <rowItems count="4">
    <i>
      <x/>
    </i>
    <i>
      <x v="1"/>
    </i>
    <i>
      <x v="2"/>
    </i>
    <i t="grand">
      <x/>
    </i>
  </rowItems>
  <colItems count="1">
    <i/>
  </colItems>
  <dataFields count="1">
    <dataField name="Count of Emp ID" fld="2" subtotal="count" baseField="0" baseItem="0"/>
  </dataFields>
  <formats count="3">
    <format dxfId="618">
      <pivotArea dataOnly="0" outline="0" axis="axisValues" fieldPosition="0"/>
    </format>
    <format dxfId="617">
      <pivotArea outline="0" collapsedLevelsAreSubtotals="1" fieldPosition="0"/>
    </format>
    <format dxfId="6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EF114C-DA06-46BC-9CC9-D162C96164C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location ref="D3:E10" firstHeaderRow="1" firstDataRow="1" firstDataCol="1"/>
  <pivotFields count="18">
    <pivotField numFmtId="15" showAll="0"/>
    <pivotField showAll="0"/>
    <pivotField showAll="0"/>
    <pivotField showAll="0"/>
    <pivotField axis="axisRow"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dataField="1" numFmtId="10" showAll="0"/>
    <pivotField numFmtId="10" showAll="0"/>
    <pivotField numFmtId="10" showAll="0"/>
    <pivotField showAll="0">
      <items count="4">
        <item x="0"/>
        <item x="2"/>
        <item x="1"/>
        <item t="default"/>
      </items>
    </pivotField>
  </pivotFields>
  <rowFields count="1">
    <field x="4"/>
  </rowFields>
  <rowItems count="7">
    <i>
      <x/>
    </i>
    <i>
      <x v="1"/>
    </i>
    <i>
      <x v="2"/>
    </i>
    <i>
      <x v="3"/>
    </i>
    <i>
      <x v="4"/>
    </i>
    <i>
      <x v="5"/>
    </i>
    <i t="grand">
      <x/>
    </i>
  </rowItems>
  <colItems count="1">
    <i/>
  </colItems>
  <dataFields count="1">
    <dataField name="Average of Productivity %" fld="14" subtotal="average" baseField="4" baseItem="0"/>
  </dataFields>
  <formats count="2">
    <format dxfId="620">
      <pivotArea outline="0" collapsedLevelsAreSubtotals="1" fieldPosition="0"/>
    </format>
    <format dxfId="619">
      <pivotArea dataOnly="0" labelOnly="1" outline="0" axis="axisValues" fieldPosition="0"/>
    </format>
  </format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 chart="4" format="12">
      <pivotArea type="data" outline="0" fieldPosition="0">
        <references count="2">
          <reference field="4294967294" count="1" selected="0">
            <x v="0"/>
          </reference>
          <reference field="4" count="1" selected="0">
            <x v="3"/>
          </reference>
        </references>
      </pivotArea>
    </chartFormat>
    <chartFormat chart="4" format="13">
      <pivotArea type="data" outline="0" fieldPosition="0">
        <references count="2">
          <reference field="4294967294" count="1" selected="0">
            <x v="0"/>
          </reference>
          <reference field="4" count="1" selected="0">
            <x v="4"/>
          </reference>
        </references>
      </pivotArea>
    </chartFormat>
    <chartFormat chart="4"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875973-8EB9-4EF3-AB02-E4D424B253C1}" sourceName="Region">
  <pivotTables>
    <pivotTable tabId="7" name="PivotTable5"/>
    <pivotTable tabId="7" name="PivotTable2"/>
    <pivotTable tabId="7" name="PivotTable3"/>
    <pivotTable tabId="7" name="PivotTable4"/>
    <pivotTable tabId="7" name="PivotTable6"/>
    <pivotTable tabId="7" name="PivotTable7"/>
    <pivotTable tabId="7" name="PivotTable8"/>
    <pivotTable tabId="7" name="PivotTable9"/>
  </pivotTables>
  <data>
    <tabular pivotCacheId="1191346353">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38222EC-04AE-4689-91F9-03BDA925EB0B}" sourceName="Department">
  <pivotTables>
    <pivotTable tabId="7" name="PivotTable5"/>
    <pivotTable tabId="7" name="PivotTable2"/>
    <pivotTable tabId="7" name="PivotTable3"/>
    <pivotTable tabId="7" name="PivotTable4"/>
    <pivotTable tabId="7" name="PivotTable6"/>
    <pivotTable tabId="7" name="PivotTable7"/>
    <pivotTable tabId="7" name="PivotTable8"/>
    <pivotTable tabId="7" name="PivotTable9"/>
  </pivotTables>
  <data>
    <tabular pivotCacheId="1191346353">
      <items count="6">
        <i x="2" s="1"/>
        <i x="3" s="1"/>
        <i x="5"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tatus" xr10:uid="{63535A10-74C0-48B9-ADA7-D04BCA18D324}" sourceName="Performance Status">
  <pivotTables>
    <pivotTable tabId="7" name="PivotTable5"/>
    <pivotTable tabId="7" name="PivotTable2"/>
    <pivotTable tabId="7" name="PivotTable3"/>
    <pivotTable tabId="7" name="PivotTable4"/>
    <pivotTable tabId="7" name="PivotTable6"/>
    <pivotTable tabId="7" name="PivotTable7"/>
    <pivotTable tabId="7" name="PivotTable8"/>
    <pivotTable tabId="7" name="PivotTable9"/>
  </pivotTables>
  <data>
    <tabular pivotCacheId="119134635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EA8ECBC-B6DF-46C1-8785-1942FE0E8BAD}" cache="Slicer_Region" caption="Region" rowHeight="257175"/>
  <slicer name="Department" xr10:uid="{37A694F8-81AC-46E6-B3A0-47AA45A2C71D}" cache="Slicer_Department" caption="Department" rowHeight="257175"/>
  <slicer name="Performance Status" xr10:uid="{5CCA9B48-A97E-4AC1-A54F-ACCBE2E2FF0A}" cache="Slicer_Performance_Status" caption="Performance Statu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103000-F292-4DE8-AE86-AD33856A0251}" name="Table1" displayName="Table1" ref="A1:R181" totalsRowShown="0" headerRowDxfId="600" dataDxfId="599" tableBorderDxfId="598">
  <autoFilter ref="A1:R181" xr:uid="{14103000-F292-4DE8-AE86-AD33856A0251}"/>
  <tableColumns count="18">
    <tableColumn id="1" xr3:uid="{4C79C3F3-2BE9-46E7-A916-86D612C9B5F1}" name="Date" dataDxfId="597"/>
    <tableColumn id="2" xr3:uid="{63935DCF-3826-45BC-8311-0D3681798E71}" name="Month" dataDxfId="596"/>
    <tableColumn id="3" xr3:uid="{39152628-2F87-4761-A39D-93DF5B2D1A8A}" name="Emp ID" dataDxfId="595"/>
    <tableColumn id="4" xr3:uid="{36A2062C-17B1-4324-A6F0-A83C5335C93C}" name="Employee Name" dataDxfId="594"/>
    <tableColumn id="5" xr3:uid="{5664A8BF-5DAD-4BE1-B455-C0746BCEDEFC}" name="Department" dataDxfId="593"/>
    <tableColumn id="6" xr3:uid="{43C9067D-9A43-483E-A161-CDB32E3C6278}" name="Region" dataDxfId="592"/>
    <tableColumn id="7" xr3:uid="{2BDA3051-E02E-47AE-A781-36E943CCAF3D}" name="Working Days" dataDxfId="591"/>
    <tableColumn id="8" xr3:uid="{F1B57E24-8294-4DE2-944A-5FD837795563}" name="Attendance Status" dataDxfId="590"/>
    <tableColumn id="9" xr3:uid="{93D105DC-C115-4935-8A92-4C609B798576}" name="Target Tasks" dataDxfId="589"/>
    <tableColumn id="10" xr3:uid="{4983664B-9B99-4007-95B9-B86F25697E66}" name="Completed Tasks" dataDxfId="588"/>
    <tableColumn id="11" xr3:uid="{0DA9E0D5-EEFC-4DD9-9A2D-90C428AFEA48}" name="Pending Tasks" dataDxfId="587"/>
    <tableColumn id="12" xr3:uid="{0ADE19F5-1948-4574-856C-838458975B8B}" name="Target Hours" dataDxfId="586"/>
    <tableColumn id="13" xr3:uid="{207C1EC0-C7F6-4617-88DB-8548FBCFDEFA}" name="Actual Hours" dataDxfId="585"/>
    <tableColumn id="14" xr3:uid="{E9DDD2F8-C68C-4406-86D8-A411C9376683}" name="Overtime Hours" dataDxfId="584"/>
    <tableColumn id="15" xr3:uid="{F783C44C-2434-4FDA-B5E7-48C9ED5E154D}" name="Productivity %" dataDxfId="583"/>
    <tableColumn id="16" xr3:uid="{77F7795D-A7EE-4FBC-AECC-2E9333074B26}" name="Quality Score %" dataDxfId="582"/>
    <tableColumn id="17" xr3:uid="{15E61A28-8CF9-4456-98A0-C4C4915AAFAA}" name="Achievement %" dataDxfId="581"/>
    <tableColumn id="18" xr3:uid="{6A479D0D-FD49-4BF3-8511-138EBDB7F846}" name="Performance Status" dataDxfId="58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C0705-2600-4A46-998F-5EA37EBD2B8F}">
  <sheetPr>
    <tabColor theme="4" tint="-0.249977111117893"/>
  </sheetPr>
  <dimension ref="J12"/>
  <sheetViews>
    <sheetView showGridLines="0" tabSelected="1" zoomScale="86" zoomScaleNormal="86" workbookViewId="0">
      <selection activeCell="C4" sqref="C4"/>
    </sheetView>
  </sheetViews>
  <sheetFormatPr defaultRowHeight="15" x14ac:dyDescent="0.25"/>
  <sheetData>
    <row r="12" spans="10:10" ht="25.5" x14ac:dyDescent="0.35">
      <c r="J12"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92DDB-5C56-4C54-A6EA-F5F25EDEFDD2}">
  <sheetPr>
    <tabColor theme="3" tint="9.9978637043366805E-2"/>
  </sheetPr>
  <dimension ref="A3:Q27"/>
  <sheetViews>
    <sheetView showGridLines="0" workbookViewId="0">
      <selection activeCell="G3" sqref="G3"/>
    </sheetView>
  </sheetViews>
  <sheetFormatPr defaultRowHeight="15" x14ac:dyDescent="0.25"/>
  <cols>
    <col min="1" max="1" width="11.28515625" bestFit="1" customWidth="1"/>
    <col min="2" max="2" width="24.140625" bestFit="1" customWidth="1"/>
    <col min="3" max="3" width="10.85546875" customWidth="1"/>
    <col min="4" max="4" width="11.28515625" bestFit="1" customWidth="1"/>
    <col min="5" max="5" width="23.7109375" bestFit="1" customWidth="1"/>
    <col min="6" max="6" width="20.7109375" bestFit="1" customWidth="1"/>
    <col min="7" max="7" width="11.28515625" bestFit="1" customWidth="1"/>
    <col min="8" max="8" width="21.28515625" bestFit="1" customWidth="1"/>
    <col min="9" max="9" width="15.85546875" bestFit="1" customWidth="1"/>
    <col min="10" max="10" width="22" bestFit="1" customWidth="1"/>
    <col min="11" max="11" width="25.140625" bestFit="1" customWidth="1"/>
    <col min="15" max="15" width="19.42578125" bestFit="1" customWidth="1"/>
    <col min="16" max="16" width="27.42578125" customWidth="1"/>
  </cols>
  <sheetData>
    <row r="3" spans="1:17" x14ac:dyDescent="0.25">
      <c r="A3" s="10" t="s">
        <v>3</v>
      </c>
      <c r="B3" s="13" t="s">
        <v>278</v>
      </c>
      <c r="D3" s="10" t="s">
        <v>3</v>
      </c>
      <c r="E3" s="13" t="s">
        <v>279</v>
      </c>
      <c r="G3" s="10" t="s">
        <v>4</v>
      </c>
      <c r="H3" s="13" t="s">
        <v>280</v>
      </c>
      <c r="J3" s="10" t="s">
        <v>2</v>
      </c>
      <c r="K3" s="13" t="s">
        <v>278</v>
      </c>
      <c r="Q3" s="14"/>
    </row>
    <row r="4" spans="1:17" x14ac:dyDescent="0.25">
      <c r="A4" s="11" t="s">
        <v>31</v>
      </c>
      <c r="B4" s="13">
        <v>0.92020689655172427</v>
      </c>
      <c r="D4" s="11" t="s">
        <v>31</v>
      </c>
      <c r="E4" s="13">
        <v>0.9320689655172415</v>
      </c>
      <c r="G4" s="11" t="s">
        <v>20</v>
      </c>
      <c r="H4" s="13">
        <v>0.88384313725490216</v>
      </c>
      <c r="J4" s="11" t="s">
        <v>86</v>
      </c>
      <c r="K4" s="13">
        <v>1</v>
      </c>
      <c r="Q4" s="14"/>
    </row>
    <row r="5" spans="1:17" x14ac:dyDescent="0.25">
      <c r="A5" s="11" t="s">
        <v>35</v>
      </c>
      <c r="B5" s="13">
        <v>0.89475862068965517</v>
      </c>
      <c r="D5" s="11" t="s">
        <v>35</v>
      </c>
      <c r="E5" s="13">
        <v>0.9069655172413793</v>
      </c>
      <c r="G5" s="11" t="s">
        <v>28</v>
      </c>
      <c r="H5" s="13">
        <v>0.90831707317073151</v>
      </c>
      <c r="J5" s="11" t="s">
        <v>87</v>
      </c>
      <c r="K5" s="13">
        <v>1</v>
      </c>
      <c r="Q5" s="14"/>
    </row>
    <row r="6" spans="1:17" x14ac:dyDescent="0.25">
      <c r="A6" s="11" t="s">
        <v>43</v>
      </c>
      <c r="B6" s="13">
        <v>0.89876</v>
      </c>
      <c r="D6" s="11" t="s">
        <v>43</v>
      </c>
      <c r="E6" s="13">
        <v>0.91756000000000015</v>
      </c>
      <c r="G6" s="11" t="s">
        <v>32</v>
      </c>
      <c r="H6" s="13">
        <v>0.83550000000000002</v>
      </c>
      <c r="J6" s="11" t="s">
        <v>74</v>
      </c>
      <c r="K6" s="13">
        <v>0.99933333333333341</v>
      </c>
      <c r="Q6" s="14"/>
    </row>
    <row r="7" spans="1:17" x14ac:dyDescent="0.25">
      <c r="A7" s="11" t="s">
        <v>27</v>
      </c>
      <c r="B7" s="13">
        <v>0.84984210526315784</v>
      </c>
      <c r="D7" s="11" t="s">
        <v>27</v>
      </c>
      <c r="E7" s="13">
        <v>0.8638421052631583</v>
      </c>
      <c r="G7" s="11" t="s">
        <v>24</v>
      </c>
      <c r="H7" s="13">
        <v>0.89740476190476215</v>
      </c>
      <c r="J7" s="11" t="s">
        <v>93</v>
      </c>
      <c r="K7" s="13">
        <v>1</v>
      </c>
      <c r="Q7" s="14"/>
    </row>
    <row r="8" spans="1:17" x14ac:dyDescent="0.25">
      <c r="A8" s="11" t="s">
        <v>39</v>
      </c>
      <c r="B8" s="13">
        <v>0.91287999999999991</v>
      </c>
      <c r="D8" s="11" t="s">
        <v>39</v>
      </c>
      <c r="E8" s="13">
        <v>0.92071999999999987</v>
      </c>
      <c r="G8" s="11" t="s">
        <v>277</v>
      </c>
      <c r="H8" s="13">
        <v>0.88022777777777728</v>
      </c>
      <c r="J8" s="11" t="s">
        <v>294</v>
      </c>
      <c r="K8" s="13">
        <v>1</v>
      </c>
    </row>
    <row r="9" spans="1:17" x14ac:dyDescent="0.25">
      <c r="A9" s="11" t="s">
        <v>19</v>
      </c>
      <c r="B9" s="13">
        <v>0.92873529411764688</v>
      </c>
      <c r="D9" s="11" t="s">
        <v>19</v>
      </c>
      <c r="E9" s="13">
        <v>0.93914705882352933</v>
      </c>
      <c r="J9" s="11" t="s">
        <v>277</v>
      </c>
      <c r="K9" s="13">
        <v>0.99971428571428578</v>
      </c>
    </row>
    <row r="10" spans="1:17" x14ac:dyDescent="0.25">
      <c r="A10" s="11" t="s">
        <v>277</v>
      </c>
      <c r="B10" s="13">
        <v>0.89886666666666648</v>
      </c>
      <c r="D10" s="11" t="s">
        <v>277</v>
      </c>
      <c r="E10" s="13">
        <v>0.91136666666666677</v>
      </c>
    </row>
    <row r="14" spans="1:17" x14ac:dyDescent="0.25">
      <c r="A14" s="10" t="s">
        <v>1</v>
      </c>
      <c r="B14" s="13" t="s">
        <v>279</v>
      </c>
      <c r="D14" s="10" t="s">
        <v>1</v>
      </c>
      <c r="E14" s="12" t="s">
        <v>281</v>
      </c>
      <c r="F14" s="12" t="s">
        <v>282</v>
      </c>
      <c r="H14" s="10" t="s">
        <v>284</v>
      </c>
      <c r="I14" s="12" t="s">
        <v>283</v>
      </c>
    </row>
    <row r="15" spans="1:17" x14ac:dyDescent="0.25">
      <c r="A15" s="11" t="s">
        <v>17</v>
      </c>
      <c r="B15" s="13">
        <v>0.96260000000000001</v>
      </c>
      <c r="D15" s="11" t="s">
        <v>17</v>
      </c>
      <c r="E15" s="12">
        <v>209</v>
      </c>
      <c r="F15" s="12">
        <v>133</v>
      </c>
      <c r="H15" s="11" t="s">
        <v>25</v>
      </c>
      <c r="I15" s="12">
        <v>12</v>
      </c>
    </row>
    <row r="16" spans="1:17" x14ac:dyDescent="0.25">
      <c r="A16" s="11" t="s">
        <v>48</v>
      </c>
      <c r="B16" s="13">
        <v>0.94374999999999998</v>
      </c>
      <c r="D16" s="11" t="s">
        <v>48</v>
      </c>
      <c r="E16" s="12">
        <v>173</v>
      </c>
      <c r="F16" s="12">
        <v>79</v>
      </c>
      <c r="H16" s="11" t="s">
        <v>21</v>
      </c>
      <c r="I16" s="12">
        <v>138</v>
      </c>
    </row>
    <row r="17" spans="1:9" x14ac:dyDescent="0.25">
      <c r="A17" s="11" t="s">
        <v>52</v>
      </c>
      <c r="B17" s="13">
        <v>0.85171428571428598</v>
      </c>
      <c r="D17" s="11" t="s">
        <v>52</v>
      </c>
      <c r="E17" s="12">
        <v>175</v>
      </c>
      <c r="F17" s="12">
        <v>69</v>
      </c>
      <c r="H17" s="11" t="s">
        <v>37</v>
      </c>
      <c r="I17" s="12">
        <v>30</v>
      </c>
    </row>
    <row r="18" spans="1:9" x14ac:dyDescent="0.25">
      <c r="A18" s="11" t="s">
        <v>55</v>
      </c>
      <c r="B18" s="13">
        <v>0.93092307692307696</v>
      </c>
      <c r="D18" s="11" t="s">
        <v>55</v>
      </c>
      <c r="E18" s="12">
        <v>154</v>
      </c>
      <c r="F18" s="12">
        <v>80</v>
      </c>
      <c r="H18" s="11" t="s">
        <v>277</v>
      </c>
      <c r="I18" s="12">
        <v>180</v>
      </c>
    </row>
    <row r="19" spans="1:9" x14ac:dyDescent="0.25">
      <c r="A19" s="11" t="s">
        <v>57</v>
      </c>
      <c r="B19" s="13">
        <v>0.91907142857142865</v>
      </c>
      <c r="D19" s="11" t="s">
        <v>57</v>
      </c>
      <c r="E19" s="12">
        <v>179</v>
      </c>
      <c r="F19" s="12">
        <v>62</v>
      </c>
    </row>
    <row r="20" spans="1:9" x14ac:dyDescent="0.25">
      <c r="A20" s="11" t="s">
        <v>58</v>
      </c>
      <c r="B20" s="13">
        <v>0.91184615384615375</v>
      </c>
      <c r="D20" s="11" t="s">
        <v>58</v>
      </c>
      <c r="E20" s="12">
        <v>178</v>
      </c>
      <c r="F20" s="12">
        <v>65</v>
      </c>
    </row>
    <row r="21" spans="1:9" x14ac:dyDescent="0.25">
      <c r="A21" s="11" t="s">
        <v>59</v>
      </c>
      <c r="B21" s="13">
        <v>0.90537500000000004</v>
      </c>
      <c r="D21" s="11" t="s">
        <v>59</v>
      </c>
      <c r="E21" s="12">
        <v>109</v>
      </c>
      <c r="F21" s="12">
        <v>40</v>
      </c>
      <c r="H21" s="10" t="s">
        <v>16</v>
      </c>
      <c r="I21" s="12" t="s">
        <v>283</v>
      </c>
    </row>
    <row r="22" spans="1:9" x14ac:dyDescent="0.25">
      <c r="A22" s="11" t="s">
        <v>80</v>
      </c>
      <c r="B22" s="13">
        <v>0.90305000000000013</v>
      </c>
      <c r="D22" s="11" t="s">
        <v>80</v>
      </c>
      <c r="E22" s="12">
        <v>249</v>
      </c>
      <c r="F22" s="12">
        <v>88</v>
      </c>
      <c r="H22" s="11" t="s">
        <v>22</v>
      </c>
      <c r="I22" s="12">
        <v>113</v>
      </c>
    </row>
    <row r="23" spans="1:9" x14ac:dyDescent="0.25">
      <c r="A23" s="11" t="s">
        <v>84</v>
      </c>
      <c r="B23" s="13">
        <v>0.91292307692307695</v>
      </c>
      <c r="D23" s="11" t="s">
        <v>84</v>
      </c>
      <c r="E23" s="12">
        <v>154</v>
      </c>
      <c r="F23" s="12">
        <v>62</v>
      </c>
      <c r="H23" s="11" t="s">
        <v>54</v>
      </c>
      <c r="I23" s="12">
        <v>27</v>
      </c>
    </row>
    <row r="24" spans="1:9" x14ac:dyDescent="0.25">
      <c r="A24" s="11" t="s">
        <v>81</v>
      </c>
      <c r="B24" s="13">
        <v>0.91884210526315802</v>
      </c>
      <c r="D24" s="11" t="s">
        <v>81</v>
      </c>
      <c r="E24" s="12">
        <v>267</v>
      </c>
      <c r="F24" s="12">
        <v>101</v>
      </c>
      <c r="H24" s="11" t="s">
        <v>40</v>
      </c>
      <c r="I24" s="12">
        <v>40</v>
      </c>
    </row>
    <row r="25" spans="1:9" x14ac:dyDescent="0.25">
      <c r="A25" s="11" t="s">
        <v>83</v>
      </c>
      <c r="B25" s="13">
        <v>0.87650000000000006</v>
      </c>
      <c r="D25" s="11" t="s">
        <v>83</v>
      </c>
      <c r="E25" s="12">
        <v>210</v>
      </c>
      <c r="F25" s="12">
        <v>68</v>
      </c>
      <c r="H25" s="11" t="s">
        <v>277</v>
      </c>
      <c r="I25" s="12">
        <v>180</v>
      </c>
    </row>
    <row r="26" spans="1:9" x14ac:dyDescent="0.25">
      <c r="A26" s="11" t="s">
        <v>82</v>
      </c>
      <c r="B26" s="13">
        <v>0.90786956521739126</v>
      </c>
      <c r="D26" s="11" t="s">
        <v>82</v>
      </c>
      <c r="E26" s="12">
        <v>286</v>
      </c>
      <c r="F26" s="12">
        <v>91</v>
      </c>
    </row>
    <row r="27" spans="1:9" x14ac:dyDescent="0.25">
      <c r="A27" s="11" t="s">
        <v>277</v>
      </c>
      <c r="B27" s="13">
        <v>0.91136666666666666</v>
      </c>
      <c r="D27" s="11" t="s">
        <v>277</v>
      </c>
      <c r="E27" s="12">
        <v>2343</v>
      </c>
      <c r="F27" s="12">
        <v>938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80E11-5CFF-43D1-9544-A60768C59F5D}">
  <dimension ref="A1:B6"/>
  <sheetViews>
    <sheetView workbookViewId="0">
      <selection activeCell="G15" sqref="G15"/>
    </sheetView>
  </sheetViews>
  <sheetFormatPr defaultRowHeight="15" x14ac:dyDescent="0.25"/>
  <cols>
    <col min="1" max="1" width="19.42578125" bestFit="1" customWidth="1"/>
  </cols>
  <sheetData>
    <row r="1" spans="1:2" x14ac:dyDescent="0.25">
      <c r="A1" s="16" t="s">
        <v>292</v>
      </c>
      <c r="B1" s="15" t="s">
        <v>286</v>
      </c>
    </row>
    <row r="2" spans="1:2" x14ac:dyDescent="0.25">
      <c r="A2" s="15" t="s">
        <v>287</v>
      </c>
      <c r="B2" s="15">
        <f>GETPIVOTDATA("Emp ID",'Pivot Table'!$H$14)</f>
        <v>180</v>
      </c>
    </row>
    <row r="3" spans="1:2" x14ac:dyDescent="0.25">
      <c r="A3" s="15" t="s">
        <v>288</v>
      </c>
      <c r="B3" s="17">
        <f>GETPIVOTDATA("Productivity %",'Pivot Table'!$D$3)</f>
        <v>0.91136666666666677</v>
      </c>
    </row>
    <row r="4" spans="1:2" x14ac:dyDescent="0.25">
      <c r="A4" s="15" t="s">
        <v>289</v>
      </c>
      <c r="B4" s="17">
        <f>GETPIVOTDATA("Achievement %",'Pivot Table'!$A$3)</f>
        <v>0.89886666666666648</v>
      </c>
    </row>
    <row r="5" spans="1:2" x14ac:dyDescent="0.25">
      <c r="A5" s="15" t="s">
        <v>290</v>
      </c>
      <c r="B5" s="15">
        <f>GETPIVOTDATA("Sum of Completed Tasks",'Pivot Table'!$D$14)</f>
        <v>2343</v>
      </c>
    </row>
    <row r="6" spans="1:2" x14ac:dyDescent="0.25">
      <c r="A6" s="15" t="s">
        <v>291</v>
      </c>
      <c r="B6" s="17">
        <f>GETPIVOTDATA("Quality Score %",'Pivot Table'!$G$3)</f>
        <v>0.88022777777777728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F63FD-9FA9-40BF-AC95-30C5CACBCC43}">
  <dimension ref="A1:B5"/>
  <sheetViews>
    <sheetView workbookViewId="0">
      <selection activeCell="B2" sqref="B2"/>
    </sheetView>
  </sheetViews>
  <sheetFormatPr defaultRowHeight="15" x14ac:dyDescent="0.25"/>
  <cols>
    <col min="1" max="1" width="12.140625" customWidth="1"/>
  </cols>
  <sheetData>
    <row r="1" spans="1:2" x14ac:dyDescent="0.25">
      <c r="A1" t="s">
        <v>285</v>
      </c>
      <c r="B1" t="s">
        <v>280</v>
      </c>
    </row>
    <row r="2" spans="1:2" x14ac:dyDescent="0.25">
      <c r="A2" s="11" t="s">
        <v>20</v>
      </c>
      <c r="B2" s="13">
        <f>GETPIVOTDATA("Quality Score %",'Pivot Table'!$G$3,"Region","California")</f>
        <v>0.88384313725490216</v>
      </c>
    </row>
    <row r="3" spans="1:2" x14ac:dyDescent="0.25">
      <c r="A3" s="11" t="s">
        <v>28</v>
      </c>
      <c r="B3" s="13">
        <f>GETPIVOTDATA("Quality Score %",'Pivot Table'!$G$3,"Region","Florida")</f>
        <v>0.90831707317073151</v>
      </c>
    </row>
    <row r="4" spans="1:2" x14ac:dyDescent="0.25">
      <c r="A4" s="11" t="s">
        <v>32</v>
      </c>
      <c r="B4" s="13">
        <f>GETPIVOTDATA("Quality Score %",'Pivot Table'!$G$3,"Region","New York")</f>
        <v>0.83550000000000002</v>
      </c>
    </row>
    <row r="5" spans="1:2" x14ac:dyDescent="0.25">
      <c r="A5" s="11" t="s">
        <v>24</v>
      </c>
      <c r="B5" s="13">
        <f>GETPIVOTDATA("Quality Score %",'Pivot Table'!$G$3,"Region","Texas")</f>
        <v>0.89740476190476215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54098-1A9F-4C02-8367-00C896F8742F}">
  <dimension ref="A1:R181"/>
  <sheetViews>
    <sheetView topLeftCell="H1" workbookViewId="0">
      <selection activeCell="R182" sqref="R182"/>
    </sheetView>
  </sheetViews>
  <sheetFormatPr defaultRowHeight="15" x14ac:dyDescent="0.25"/>
  <cols>
    <col min="1" max="1" width="10.140625" bestFit="1" customWidth="1"/>
    <col min="3" max="3" width="11" customWidth="1"/>
    <col min="4" max="4" width="17.7109375" customWidth="1"/>
    <col min="5" max="5" width="13.85546875" customWidth="1"/>
    <col min="6" max="6" width="9.28515625" customWidth="1"/>
    <col min="7" max="7" width="15.28515625" customWidth="1"/>
    <col min="8" max="8" width="19.28515625" customWidth="1"/>
    <col min="9" max="9" width="13.85546875" customWidth="1"/>
    <col min="10" max="10" width="18.140625" customWidth="1"/>
    <col min="11" max="11" width="15.5703125" customWidth="1"/>
    <col min="12" max="13" width="14.28515625" customWidth="1"/>
    <col min="14" max="14" width="17.140625" customWidth="1"/>
    <col min="15" max="15" width="15.85546875" customWidth="1"/>
    <col min="16" max="16" width="16.85546875" customWidth="1"/>
    <col min="17" max="17" width="17" customWidth="1"/>
    <col min="18" max="18" width="20.42578125" customWidth="1"/>
  </cols>
  <sheetData>
    <row r="1" spans="1:18" x14ac:dyDescent="0.25">
      <c r="A1" s="5" t="s">
        <v>0</v>
      </c>
      <c r="B1" s="5" t="s">
        <v>1</v>
      </c>
      <c r="C1" s="9" t="s">
        <v>276</v>
      </c>
      <c r="D1" s="5" t="s">
        <v>2</v>
      </c>
      <c r="E1" s="5" t="s">
        <v>3</v>
      </c>
      <c r="F1" s="5" t="s">
        <v>4</v>
      </c>
      <c r="G1" s="5" t="s">
        <v>5</v>
      </c>
      <c r="H1" s="5" t="s">
        <v>6</v>
      </c>
      <c r="I1" s="5" t="s">
        <v>7</v>
      </c>
      <c r="J1" s="5" t="s">
        <v>8</v>
      </c>
      <c r="K1" s="5" t="s">
        <v>9</v>
      </c>
      <c r="L1" s="5" t="s">
        <v>10</v>
      </c>
      <c r="M1" s="5" t="s">
        <v>11</v>
      </c>
      <c r="N1" s="5" t="s">
        <v>12</v>
      </c>
      <c r="O1" s="5" t="s">
        <v>13</v>
      </c>
      <c r="P1" s="5" t="s">
        <v>14</v>
      </c>
      <c r="Q1" s="5" t="s">
        <v>15</v>
      </c>
      <c r="R1" s="5" t="s">
        <v>16</v>
      </c>
    </row>
    <row r="2" spans="1:18" x14ac:dyDescent="0.25">
      <c r="A2" s="1">
        <v>46023</v>
      </c>
      <c r="B2" s="7" t="s">
        <v>17</v>
      </c>
      <c r="C2" s="7" t="s">
        <v>97</v>
      </c>
      <c r="D2" s="7" t="s">
        <v>18</v>
      </c>
      <c r="E2" s="7" t="s">
        <v>19</v>
      </c>
      <c r="F2" s="7" t="s">
        <v>20</v>
      </c>
      <c r="G2" s="7">
        <v>22</v>
      </c>
      <c r="H2" s="7" t="s">
        <v>21</v>
      </c>
      <c r="I2" s="7">
        <v>8</v>
      </c>
      <c r="J2" s="7">
        <v>10</v>
      </c>
      <c r="K2" s="7">
        <v>0</v>
      </c>
      <c r="L2" s="7">
        <v>8</v>
      </c>
      <c r="M2" s="7">
        <v>8.5</v>
      </c>
      <c r="N2" s="7">
        <v>0.5</v>
      </c>
      <c r="O2" s="2">
        <v>1</v>
      </c>
      <c r="P2" s="2">
        <v>0.91100000000000003</v>
      </c>
      <c r="Q2" s="2">
        <v>0.96399999999999997</v>
      </c>
      <c r="R2" s="7" t="s">
        <v>22</v>
      </c>
    </row>
    <row r="3" spans="1:18" x14ac:dyDescent="0.25">
      <c r="A3" s="1">
        <v>46025</v>
      </c>
      <c r="B3" s="7" t="s">
        <v>17</v>
      </c>
      <c r="C3" s="7" t="s">
        <v>98</v>
      </c>
      <c r="D3" s="7" t="s">
        <v>23</v>
      </c>
      <c r="E3" s="7" t="s">
        <v>19</v>
      </c>
      <c r="F3" s="7" t="s">
        <v>24</v>
      </c>
      <c r="G3" s="7">
        <v>20</v>
      </c>
      <c r="H3" s="7" t="s">
        <v>25</v>
      </c>
      <c r="I3" s="7">
        <v>19</v>
      </c>
      <c r="J3" s="7">
        <v>20</v>
      </c>
      <c r="K3" s="7">
        <v>0</v>
      </c>
      <c r="L3" s="7">
        <v>7</v>
      </c>
      <c r="M3" s="7">
        <v>6.8</v>
      </c>
      <c r="N3" s="7">
        <v>0</v>
      </c>
      <c r="O3" s="2">
        <v>1</v>
      </c>
      <c r="P3" s="2">
        <v>0.88700000000000001</v>
      </c>
      <c r="Q3" s="2">
        <v>0.95499999999999996</v>
      </c>
      <c r="R3" s="7" t="s">
        <v>22</v>
      </c>
    </row>
    <row r="4" spans="1:18" x14ac:dyDescent="0.25">
      <c r="A4" s="1">
        <v>46027</v>
      </c>
      <c r="B4" s="7" t="s">
        <v>17</v>
      </c>
      <c r="C4" s="7" t="s">
        <v>99</v>
      </c>
      <c r="D4" s="7" t="s">
        <v>26</v>
      </c>
      <c r="E4" s="7" t="s">
        <v>27</v>
      </c>
      <c r="F4" s="7" t="s">
        <v>28</v>
      </c>
      <c r="G4" s="7">
        <v>20</v>
      </c>
      <c r="H4" s="7" t="s">
        <v>21</v>
      </c>
      <c r="I4" s="7">
        <v>11</v>
      </c>
      <c r="J4" s="7">
        <v>12</v>
      </c>
      <c r="K4" s="7">
        <v>0</v>
      </c>
      <c r="L4" s="7">
        <v>9</v>
      </c>
      <c r="M4" s="7">
        <v>9.6999999999999993</v>
      </c>
      <c r="N4" s="7">
        <v>0.7</v>
      </c>
      <c r="O4" s="2">
        <v>1</v>
      </c>
      <c r="P4" s="2">
        <v>0.92400000000000004</v>
      </c>
      <c r="Q4" s="2">
        <v>0.97</v>
      </c>
      <c r="R4" s="7" t="s">
        <v>22</v>
      </c>
    </row>
    <row r="5" spans="1:18" x14ac:dyDescent="0.25">
      <c r="A5" s="1">
        <v>46029</v>
      </c>
      <c r="B5" s="7" t="s">
        <v>17</v>
      </c>
      <c r="C5" s="7" t="s">
        <v>100</v>
      </c>
      <c r="D5" s="7" t="s">
        <v>29</v>
      </c>
      <c r="E5" s="7" t="s">
        <v>27</v>
      </c>
      <c r="F5" s="7" t="s">
        <v>20</v>
      </c>
      <c r="G5" s="7">
        <v>22</v>
      </c>
      <c r="H5" s="7" t="s">
        <v>25</v>
      </c>
      <c r="I5" s="7">
        <v>16</v>
      </c>
      <c r="J5" s="7">
        <v>16</v>
      </c>
      <c r="K5" s="7">
        <v>0</v>
      </c>
      <c r="L5" s="7">
        <v>7</v>
      </c>
      <c r="M5" s="7">
        <v>8.6999999999999993</v>
      </c>
      <c r="N5" s="7">
        <v>1.7</v>
      </c>
      <c r="O5" s="2">
        <v>0.99199999999999999</v>
      </c>
      <c r="P5" s="2">
        <v>0.93300000000000005</v>
      </c>
      <c r="Q5" s="2">
        <v>0.96799999999999997</v>
      </c>
      <c r="R5" s="7" t="s">
        <v>22</v>
      </c>
    </row>
    <row r="6" spans="1:18" x14ac:dyDescent="0.25">
      <c r="A6" s="1">
        <v>46031</v>
      </c>
      <c r="B6" s="7" t="s">
        <v>17</v>
      </c>
      <c r="C6" s="7" t="s">
        <v>101</v>
      </c>
      <c r="D6" s="7" t="s">
        <v>30</v>
      </c>
      <c r="E6" s="7" t="s">
        <v>31</v>
      </c>
      <c r="F6" s="7" t="s">
        <v>32</v>
      </c>
      <c r="G6" s="7">
        <v>20</v>
      </c>
      <c r="H6" s="7" t="s">
        <v>21</v>
      </c>
      <c r="I6" s="7">
        <v>19</v>
      </c>
      <c r="J6" s="7">
        <v>19</v>
      </c>
      <c r="K6" s="7">
        <v>0</v>
      </c>
      <c r="L6" s="7">
        <v>8</v>
      </c>
      <c r="M6" s="7">
        <v>7.7</v>
      </c>
      <c r="N6" s="7">
        <v>0</v>
      </c>
      <c r="O6" s="2">
        <v>0.96399999999999997</v>
      </c>
      <c r="P6" s="2">
        <v>0.89100000000000001</v>
      </c>
      <c r="Q6" s="2">
        <v>0.93500000000000005</v>
      </c>
      <c r="R6" s="7" t="s">
        <v>22</v>
      </c>
    </row>
    <row r="7" spans="1:18" x14ac:dyDescent="0.25">
      <c r="A7" s="1">
        <v>46033</v>
      </c>
      <c r="B7" s="7" t="s">
        <v>17</v>
      </c>
      <c r="C7" s="7" t="s">
        <v>102</v>
      </c>
      <c r="D7" s="7" t="s">
        <v>33</v>
      </c>
      <c r="E7" s="7" t="s">
        <v>31</v>
      </c>
      <c r="F7" s="7" t="s">
        <v>24</v>
      </c>
      <c r="G7" s="7">
        <v>21</v>
      </c>
      <c r="H7" s="7" t="s">
        <v>21</v>
      </c>
      <c r="I7" s="7">
        <v>9</v>
      </c>
      <c r="J7" s="7">
        <v>9</v>
      </c>
      <c r="K7" s="7">
        <v>10</v>
      </c>
      <c r="L7" s="7">
        <v>7</v>
      </c>
      <c r="M7" s="7">
        <v>6.7</v>
      </c>
      <c r="N7" s="7">
        <v>0</v>
      </c>
      <c r="O7" s="2">
        <v>0.97699999999999998</v>
      </c>
      <c r="P7" s="2">
        <v>0.93300000000000005</v>
      </c>
      <c r="Q7" s="2">
        <v>0.95899999999999996</v>
      </c>
      <c r="R7" s="7" t="s">
        <v>22</v>
      </c>
    </row>
    <row r="8" spans="1:18" x14ac:dyDescent="0.25">
      <c r="A8" s="1">
        <v>46035</v>
      </c>
      <c r="B8" s="7" t="s">
        <v>17</v>
      </c>
      <c r="C8" s="7" t="s">
        <v>103</v>
      </c>
      <c r="D8" s="7" t="s">
        <v>34</v>
      </c>
      <c r="E8" s="7" t="s">
        <v>35</v>
      </c>
      <c r="F8" s="7" t="s">
        <v>28</v>
      </c>
      <c r="G8" s="7">
        <v>21</v>
      </c>
      <c r="H8" s="7" t="s">
        <v>21</v>
      </c>
      <c r="I8" s="7">
        <v>19</v>
      </c>
      <c r="J8" s="7">
        <v>19</v>
      </c>
      <c r="K8" s="7">
        <v>0</v>
      </c>
      <c r="L8" s="7">
        <v>9</v>
      </c>
      <c r="M8" s="7">
        <v>10.7</v>
      </c>
      <c r="N8" s="7">
        <v>1.7</v>
      </c>
      <c r="O8" s="2">
        <v>0.94</v>
      </c>
      <c r="P8" s="2">
        <v>1</v>
      </c>
      <c r="Q8" s="2">
        <v>0.96399999999999997</v>
      </c>
      <c r="R8" s="7" t="s">
        <v>22</v>
      </c>
    </row>
    <row r="9" spans="1:18" x14ac:dyDescent="0.25">
      <c r="A9" s="1">
        <v>46037</v>
      </c>
      <c r="B9" s="7" t="s">
        <v>17</v>
      </c>
      <c r="C9" s="7" t="s">
        <v>104</v>
      </c>
      <c r="D9" s="7" t="s">
        <v>36</v>
      </c>
      <c r="E9" s="7" t="s">
        <v>35</v>
      </c>
      <c r="F9" s="7" t="s">
        <v>20</v>
      </c>
      <c r="G9" s="7">
        <v>20</v>
      </c>
      <c r="H9" s="7" t="s">
        <v>37</v>
      </c>
      <c r="I9" s="7">
        <v>12</v>
      </c>
      <c r="J9" s="7">
        <v>15</v>
      </c>
      <c r="K9" s="7">
        <v>0</v>
      </c>
      <c r="L9" s="7">
        <v>9</v>
      </c>
      <c r="M9" s="7">
        <v>9.8000000000000007</v>
      </c>
      <c r="N9" s="7">
        <v>0.8</v>
      </c>
      <c r="O9" s="2">
        <v>1</v>
      </c>
      <c r="P9" s="2">
        <v>1</v>
      </c>
      <c r="Q9" s="2">
        <v>1</v>
      </c>
      <c r="R9" s="7" t="s">
        <v>22</v>
      </c>
    </row>
    <row r="10" spans="1:18" x14ac:dyDescent="0.25">
      <c r="A10" s="1">
        <v>46039</v>
      </c>
      <c r="B10" s="7" t="s">
        <v>17</v>
      </c>
      <c r="C10" s="7" t="s">
        <v>105</v>
      </c>
      <c r="D10" s="7" t="s">
        <v>38</v>
      </c>
      <c r="E10" s="7" t="s">
        <v>39</v>
      </c>
      <c r="F10" s="7" t="s">
        <v>32</v>
      </c>
      <c r="G10" s="7">
        <v>22</v>
      </c>
      <c r="H10" s="7" t="s">
        <v>21</v>
      </c>
      <c r="I10" s="7">
        <v>19</v>
      </c>
      <c r="J10" s="7">
        <v>16</v>
      </c>
      <c r="K10" s="7">
        <v>30</v>
      </c>
      <c r="L10" s="7">
        <v>7</v>
      </c>
      <c r="M10" s="7">
        <v>6.5</v>
      </c>
      <c r="N10" s="7">
        <v>0</v>
      </c>
      <c r="O10" s="2">
        <v>0.86799999999999999</v>
      </c>
      <c r="P10" s="2">
        <v>0.91800000000000004</v>
      </c>
      <c r="Q10" s="2">
        <v>0.88800000000000001</v>
      </c>
      <c r="R10" s="7" t="s">
        <v>40</v>
      </c>
    </row>
    <row r="11" spans="1:18" x14ac:dyDescent="0.25">
      <c r="A11" s="1">
        <v>46041</v>
      </c>
      <c r="B11" s="7" t="s">
        <v>17</v>
      </c>
      <c r="C11" s="7" t="s">
        <v>106</v>
      </c>
      <c r="D11" s="7" t="s">
        <v>92</v>
      </c>
      <c r="E11" s="7" t="s">
        <v>39</v>
      </c>
      <c r="F11" s="7" t="s">
        <v>28</v>
      </c>
      <c r="G11" s="7">
        <v>20</v>
      </c>
      <c r="H11" s="7" t="s">
        <v>21</v>
      </c>
      <c r="I11" s="7">
        <v>9</v>
      </c>
      <c r="J11" s="7">
        <v>9</v>
      </c>
      <c r="K11" s="7">
        <v>40</v>
      </c>
      <c r="L11" s="7">
        <v>8</v>
      </c>
      <c r="M11" s="7">
        <v>8.6</v>
      </c>
      <c r="N11" s="7">
        <v>0.6</v>
      </c>
      <c r="O11" s="2">
        <v>0.99299999999999999</v>
      </c>
      <c r="P11" s="2">
        <v>1</v>
      </c>
      <c r="Q11" s="2">
        <v>0.996</v>
      </c>
      <c r="R11" s="7" t="s">
        <v>22</v>
      </c>
    </row>
    <row r="12" spans="1:18" x14ac:dyDescent="0.25">
      <c r="A12" s="1">
        <v>46045</v>
      </c>
      <c r="B12" s="7" t="s">
        <v>17</v>
      </c>
      <c r="C12" s="7" t="s">
        <v>115</v>
      </c>
      <c r="D12" s="7" t="s">
        <v>42</v>
      </c>
      <c r="E12" s="7" t="s">
        <v>43</v>
      </c>
      <c r="F12" s="7" t="s">
        <v>20</v>
      </c>
      <c r="G12" s="7">
        <v>22</v>
      </c>
      <c r="H12" s="7" t="s">
        <v>21</v>
      </c>
      <c r="I12" s="7">
        <v>17</v>
      </c>
      <c r="J12" s="7">
        <v>19</v>
      </c>
      <c r="K12" s="7">
        <v>0</v>
      </c>
      <c r="L12" s="7">
        <v>7</v>
      </c>
      <c r="M12" s="7">
        <v>6.5</v>
      </c>
      <c r="N12" s="7">
        <v>0</v>
      </c>
      <c r="O12" s="2">
        <v>1</v>
      </c>
      <c r="P12" s="2">
        <v>0.93400000000000005</v>
      </c>
      <c r="Q12" s="2">
        <v>0.97399999999999998</v>
      </c>
      <c r="R12" s="7" t="s">
        <v>22</v>
      </c>
    </row>
    <row r="13" spans="1:18" x14ac:dyDescent="0.25">
      <c r="A13" s="1">
        <v>46047</v>
      </c>
      <c r="B13" s="7" t="s">
        <v>17</v>
      </c>
      <c r="C13" s="7" t="s">
        <v>107</v>
      </c>
      <c r="D13" s="7" t="s">
        <v>44</v>
      </c>
      <c r="E13" s="7" t="s">
        <v>19</v>
      </c>
      <c r="F13" s="7" t="s">
        <v>32</v>
      </c>
      <c r="G13" s="7">
        <v>21</v>
      </c>
      <c r="H13" s="7" t="s">
        <v>21</v>
      </c>
      <c r="I13" s="7">
        <v>12</v>
      </c>
      <c r="J13" s="7">
        <v>14</v>
      </c>
      <c r="K13" s="7">
        <v>50</v>
      </c>
      <c r="L13" s="7">
        <v>9</v>
      </c>
      <c r="M13" s="7">
        <v>9.3000000000000007</v>
      </c>
      <c r="N13" s="7">
        <v>0.3</v>
      </c>
      <c r="O13" s="2">
        <v>1</v>
      </c>
      <c r="P13" s="2">
        <v>1</v>
      </c>
      <c r="Q13" s="2">
        <v>1</v>
      </c>
      <c r="R13" s="7" t="s">
        <v>22</v>
      </c>
    </row>
    <row r="14" spans="1:18" x14ac:dyDescent="0.25">
      <c r="A14" s="1">
        <v>46049</v>
      </c>
      <c r="B14" s="7" t="s">
        <v>17</v>
      </c>
      <c r="C14" s="7" t="s">
        <v>108</v>
      </c>
      <c r="D14" s="7" t="s">
        <v>45</v>
      </c>
      <c r="E14" s="7" t="s">
        <v>27</v>
      </c>
      <c r="F14" s="7" t="s">
        <v>24</v>
      </c>
      <c r="G14" s="7">
        <v>20</v>
      </c>
      <c r="H14" s="7" t="s">
        <v>21</v>
      </c>
      <c r="I14" s="7">
        <v>8</v>
      </c>
      <c r="J14" s="7">
        <v>11</v>
      </c>
      <c r="K14" s="7">
        <v>0</v>
      </c>
      <c r="L14" s="7">
        <v>8</v>
      </c>
      <c r="M14" s="7">
        <v>5.9</v>
      </c>
      <c r="N14" s="7">
        <v>0</v>
      </c>
      <c r="O14" s="2">
        <v>1</v>
      </c>
      <c r="P14" s="2">
        <v>0.89500000000000002</v>
      </c>
      <c r="Q14" s="2">
        <v>0.95799999999999996</v>
      </c>
      <c r="R14" s="7" t="s">
        <v>22</v>
      </c>
    </row>
    <row r="15" spans="1:18" x14ac:dyDescent="0.25">
      <c r="A15" s="1">
        <v>46051</v>
      </c>
      <c r="B15" s="7" t="s">
        <v>17</v>
      </c>
      <c r="C15" s="7" t="s">
        <v>109</v>
      </c>
      <c r="D15" s="7" t="s">
        <v>46</v>
      </c>
      <c r="E15" s="7" t="s">
        <v>31</v>
      </c>
      <c r="F15" s="7" t="s">
        <v>28</v>
      </c>
      <c r="G15" s="7">
        <v>22</v>
      </c>
      <c r="H15" s="7" t="s">
        <v>25</v>
      </c>
      <c r="I15" s="7">
        <v>13</v>
      </c>
      <c r="J15" s="7">
        <v>11</v>
      </c>
      <c r="K15" s="7">
        <v>2</v>
      </c>
      <c r="L15" s="7">
        <v>9</v>
      </c>
      <c r="M15" s="7">
        <v>7.1</v>
      </c>
      <c r="N15" s="7">
        <v>0</v>
      </c>
      <c r="O15" s="2">
        <v>0.84599999999999997</v>
      </c>
      <c r="P15" s="2">
        <v>0.92100000000000004</v>
      </c>
      <c r="Q15" s="2">
        <v>0.876</v>
      </c>
      <c r="R15" s="7" t="s">
        <v>40</v>
      </c>
    </row>
    <row r="16" spans="1:18" x14ac:dyDescent="0.25">
      <c r="A16" s="1">
        <v>46053</v>
      </c>
      <c r="B16" s="7" t="s">
        <v>17</v>
      </c>
      <c r="C16" s="7" t="s">
        <v>110</v>
      </c>
      <c r="D16" s="7" t="s">
        <v>47</v>
      </c>
      <c r="E16" s="7" t="s">
        <v>35</v>
      </c>
      <c r="F16" s="7" t="s">
        <v>32</v>
      </c>
      <c r="G16" s="7">
        <v>22</v>
      </c>
      <c r="H16" s="7" t="s">
        <v>21</v>
      </c>
      <c r="I16" s="7">
        <v>10</v>
      </c>
      <c r="J16" s="7">
        <v>9</v>
      </c>
      <c r="K16" s="7">
        <v>1</v>
      </c>
      <c r="L16" s="7">
        <v>7</v>
      </c>
      <c r="M16" s="7">
        <v>6.4</v>
      </c>
      <c r="N16" s="7">
        <v>0</v>
      </c>
      <c r="O16" s="2">
        <v>0.85899999999999999</v>
      </c>
      <c r="P16" s="2">
        <v>0.86299999999999999</v>
      </c>
      <c r="Q16" s="2">
        <v>0.86099999999999999</v>
      </c>
      <c r="R16" s="7" t="s">
        <v>40</v>
      </c>
    </row>
    <row r="17" spans="1:18" x14ac:dyDescent="0.25">
      <c r="A17" s="1">
        <v>46055</v>
      </c>
      <c r="B17" s="7" t="s">
        <v>48</v>
      </c>
      <c r="C17" s="7" t="s">
        <v>111</v>
      </c>
      <c r="D17" s="7" t="s">
        <v>49</v>
      </c>
      <c r="E17" s="7" t="s">
        <v>39</v>
      </c>
      <c r="F17" s="7" t="s">
        <v>20</v>
      </c>
      <c r="G17" s="7">
        <v>21</v>
      </c>
      <c r="H17" s="7" t="s">
        <v>25</v>
      </c>
      <c r="I17" s="7">
        <v>17</v>
      </c>
      <c r="J17" s="7">
        <v>17</v>
      </c>
      <c r="K17" s="7">
        <v>0</v>
      </c>
      <c r="L17" s="7">
        <v>9</v>
      </c>
      <c r="M17" s="7">
        <v>7.9</v>
      </c>
      <c r="N17" s="7">
        <v>0</v>
      </c>
      <c r="O17" s="2">
        <v>0.98399999999999999</v>
      </c>
      <c r="P17" s="2">
        <v>0.91200000000000003</v>
      </c>
      <c r="Q17" s="2">
        <v>0.95499999999999996</v>
      </c>
      <c r="R17" s="7" t="s">
        <v>22</v>
      </c>
    </row>
    <row r="18" spans="1:18" x14ac:dyDescent="0.25">
      <c r="A18" s="1">
        <v>46057</v>
      </c>
      <c r="B18" s="7" t="s">
        <v>48</v>
      </c>
      <c r="C18" s="7" t="s">
        <v>112</v>
      </c>
      <c r="D18" s="7" t="s">
        <v>50</v>
      </c>
      <c r="E18" s="7" t="s">
        <v>43</v>
      </c>
      <c r="F18" s="7" t="s">
        <v>28</v>
      </c>
      <c r="G18" s="7">
        <v>20</v>
      </c>
      <c r="H18" s="7" t="s">
        <v>37</v>
      </c>
      <c r="I18" s="7">
        <v>15</v>
      </c>
      <c r="J18" s="7">
        <v>12</v>
      </c>
      <c r="K18" s="7">
        <v>3</v>
      </c>
      <c r="L18" s="7">
        <v>7</v>
      </c>
      <c r="M18" s="7">
        <v>7.3</v>
      </c>
      <c r="N18" s="7">
        <v>0.3</v>
      </c>
      <c r="O18" s="2">
        <v>0.85799999999999998</v>
      </c>
      <c r="P18" s="2">
        <v>0.77200000000000002</v>
      </c>
      <c r="Q18" s="2">
        <v>0.82399999999999995</v>
      </c>
      <c r="R18" s="7" t="s">
        <v>40</v>
      </c>
    </row>
    <row r="19" spans="1:18" x14ac:dyDescent="0.25">
      <c r="A19" s="1">
        <v>46061</v>
      </c>
      <c r="B19" s="7" t="s">
        <v>48</v>
      </c>
      <c r="C19" s="7" t="s">
        <v>113</v>
      </c>
      <c r="D19" s="7" t="s">
        <v>51</v>
      </c>
      <c r="E19" s="7" t="s">
        <v>27</v>
      </c>
      <c r="F19" s="7" t="s">
        <v>32</v>
      </c>
      <c r="G19" s="7">
        <v>21</v>
      </c>
      <c r="H19" s="7" t="s">
        <v>37</v>
      </c>
      <c r="I19" s="7">
        <v>12</v>
      </c>
      <c r="J19" s="7">
        <v>13</v>
      </c>
      <c r="K19" s="7">
        <v>70</v>
      </c>
      <c r="L19" s="7">
        <v>7</v>
      </c>
      <c r="M19" s="7">
        <v>5.4</v>
      </c>
      <c r="N19" s="7">
        <v>0</v>
      </c>
      <c r="O19" s="2">
        <v>1</v>
      </c>
      <c r="P19" s="2">
        <v>0.90500000000000003</v>
      </c>
      <c r="Q19" s="2">
        <v>0.96199999999999997</v>
      </c>
      <c r="R19" s="7" t="s">
        <v>22</v>
      </c>
    </row>
    <row r="20" spans="1:18" x14ac:dyDescent="0.25">
      <c r="A20" s="1">
        <v>46063</v>
      </c>
      <c r="B20" s="7" t="s">
        <v>48</v>
      </c>
      <c r="C20" s="7" t="s">
        <v>116</v>
      </c>
      <c r="D20" s="7" t="s">
        <v>18</v>
      </c>
      <c r="E20" s="7" t="s">
        <v>19</v>
      </c>
      <c r="F20" s="7" t="s">
        <v>20</v>
      </c>
      <c r="G20" s="7">
        <v>22</v>
      </c>
      <c r="H20" s="7" t="s">
        <v>21</v>
      </c>
      <c r="I20" s="7">
        <v>20</v>
      </c>
      <c r="J20" s="7">
        <v>22</v>
      </c>
      <c r="K20" s="7">
        <v>0</v>
      </c>
      <c r="L20" s="7">
        <v>8</v>
      </c>
      <c r="M20" s="7">
        <v>9.6</v>
      </c>
      <c r="N20" s="7">
        <v>1.6</v>
      </c>
      <c r="O20" s="2">
        <v>1</v>
      </c>
      <c r="P20" s="2">
        <v>0.97599999999999998</v>
      </c>
      <c r="Q20" s="2">
        <v>0.99</v>
      </c>
      <c r="R20" s="7" t="s">
        <v>22</v>
      </c>
    </row>
    <row r="21" spans="1:18" x14ac:dyDescent="0.25">
      <c r="A21" s="1">
        <v>46065</v>
      </c>
      <c r="B21" s="7" t="s">
        <v>48</v>
      </c>
      <c r="C21" s="7" t="s">
        <v>114</v>
      </c>
      <c r="D21" s="7" t="s">
        <v>23</v>
      </c>
      <c r="E21" s="7" t="s">
        <v>19</v>
      </c>
      <c r="F21" s="7" t="s">
        <v>24</v>
      </c>
      <c r="G21" s="7">
        <v>21</v>
      </c>
      <c r="H21" s="7" t="s">
        <v>21</v>
      </c>
      <c r="I21" s="7">
        <v>19</v>
      </c>
      <c r="J21" s="7">
        <v>21</v>
      </c>
      <c r="K21" s="7">
        <v>0</v>
      </c>
      <c r="L21" s="7">
        <v>8</v>
      </c>
      <c r="M21" s="7">
        <v>7.8</v>
      </c>
      <c r="N21" s="7">
        <v>0</v>
      </c>
      <c r="O21" s="2">
        <v>1</v>
      </c>
      <c r="P21" s="2">
        <v>1</v>
      </c>
      <c r="Q21" s="2">
        <v>1</v>
      </c>
      <c r="R21" s="7" t="s">
        <v>22</v>
      </c>
    </row>
    <row r="22" spans="1:18" x14ac:dyDescent="0.25">
      <c r="A22" s="1">
        <v>46067</v>
      </c>
      <c r="B22" s="7" t="s">
        <v>48</v>
      </c>
      <c r="C22" s="7" t="s">
        <v>134</v>
      </c>
      <c r="D22" s="7" t="s">
        <v>26</v>
      </c>
      <c r="E22" s="7" t="s">
        <v>27</v>
      </c>
      <c r="F22" s="7" t="s">
        <v>28</v>
      </c>
      <c r="G22" s="7">
        <v>22</v>
      </c>
      <c r="H22" s="7" t="s">
        <v>21</v>
      </c>
      <c r="I22" s="7">
        <v>18</v>
      </c>
      <c r="J22" s="7">
        <v>17</v>
      </c>
      <c r="K22" s="7">
        <v>1</v>
      </c>
      <c r="L22" s="7">
        <v>9</v>
      </c>
      <c r="M22" s="7">
        <v>9.1</v>
      </c>
      <c r="N22" s="7">
        <v>0.1</v>
      </c>
      <c r="O22" s="2">
        <v>0.94599999999999995</v>
      </c>
      <c r="P22" s="2">
        <v>0.87</v>
      </c>
      <c r="Q22" s="2">
        <v>0.91600000000000004</v>
      </c>
      <c r="R22" s="7" t="s">
        <v>22</v>
      </c>
    </row>
    <row r="23" spans="1:18" x14ac:dyDescent="0.25">
      <c r="A23" s="1">
        <v>46069</v>
      </c>
      <c r="B23" s="7" t="s">
        <v>48</v>
      </c>
      <c r="C23" s="7" t="s">
        <v>119</v>
      </c>
      <c r="D23" s="7" t="s">
        <v>29</v>
      </c>
      <c r="E23" s="7" t="s">
        <v>27</v>
      </c>
      <c r="F23" s="7" t="s">
        <v>20</v>
      </c>
      <c r="G23" s="7">
        <v>21</v>
      </c>
      <c r="H23" s="7" t="s">
        <v>21</v>
      </c>
      <c r="I23" s="7">
        <v>16</v>
      </c>
      <c r="J23" s="7">
        <v>19</v>
      </c>
      <c r="K23" s="7">
        <v>0</v>
      </c>
      <c r="L23" s="7">
        <v>9</v>
      </c>
      <c r="M23" s="7">
        <v>7.4</v>
      </c>
      <c r="N23" s="7">
        <v>0</v>
      </c>
      <c r="O23" s="2">
        <v>1</v>
      </c>
      <c r="P23" s="2">
        <v>1</v>
      </c>
      <c r="Q23" s="2">
        <v>1</v>
      </c>
      <c r="R23" s="7" t="s">
        <v>22</v>
      </c>
    </row>
    <row r="24" spans="1:18" x14ac:dyDescent="0.25">
      <c r="A24" s="1">
        <v>46071</v>
      </c>
      <c r="B24" s="7" t="s">
        <v>48</v>
      </c>
      <c r="C24" s="7" t="s">
        <v>120</v>
      </c>
      <c r="D24" s="7" t="s">
        <v>30</v>
      </c>
      <c r="E24" s="7" t="s">
        <v>31</v>
      </c>
      <c r="F24" s="7" t="s">
        <v>32</v>
      </c>
      <c r="G24" s="7">
        <v>21</v>
      </c>
      <c r="H24" s="7" t="s">
        <v>21</v>
      </c>
      <c r="I24" s="7">
        <v>9</v>
      </c>
      <c r="J24" s="7">
        <v>8</v>
      </c>
      <c r="K24" s="7">
        <v>1</v>
      </c>
      <c r="L24" s="7">
        <v>8</v>
      </c>
      <c r="M24" s="7">
        <v>7.4</v>
      </c>
      <c r="N24" s="7">
        <v>0</v>
      </c>
      <c r="O24" s="2">
        <v>0.84699999999999998</v>
      </c>
      <c r="P24" s="2">
        <v>0.78</v>
      </c>
      <c r="Q24" s="2">
        <v>0.82</v>
      </c>
      <c r="R24" s="7" t="s">
        <v>40</v>
      </c>
    </row>
    <row r="25" spans="1:18" x14ac:dyDescent="0.25">
      <c r="A25" s="1">
        <v>46073</v>
      </c>
      <c r="B25" s="7" t="s">
        <v>48</v>
      </c>
      <c r="C25" s="7" t="s">
        <v>135</v>
      </c>
      <c r="D25" s="7" t="s">
        <v>33</v>
      </c>
      <c r="E25" s="7" t="s">
        <v>31</v>
      </c>
      <c r="F25" s="7" t="s">
        <v>24</v>
      </c>
      <c r="G25" s="7">
        <v>22</v>
      </c>
      <c r="H25" s="7" t="s">
        <v>21</v>
      </c>
      <c r="I25" s="7">
        <v>9</v>
      </c>
      <c r="J25" s="7">
        <v>11</v>
      </c>
      <c r="K25" s="7">
        <v>0</v>
      </c>
      <c r="L25" s="7">
        <v>8</v>
      </c>
      <c r="M25" s="7">
        <v>8.1</v>
      </c>
      <c r="N25" s="7">
        <v>0.1</v>
      </c>
      <c r="O25" s="2">
        <v>1</v>
      </c>
      <c r="P25" s="2">
        <v>1</v>
      </c>
      <c r="Q25" s="2">
        <v>1</v>
      </c>
      <c r="R25" s="7" t="s">
        <v>22</v>
      </c>
    </row>
    <row r="26" spans="1:18" x14ac:dyDescent="0.25">
      <c r="A26" s="1">
        <v>46075</v>
      </c>
      <c r="B26" s="7" t="s">
        <v>48</v>
      </c>
      <c r="C26" s="7" t="s">
        <v>136</v>
      </c>
      <c r="D26" s="7" t="s">
        <v>34</v>
      </c>
      <c r="E26" s="7" t="s">
        <v>35</v>
      </c>
      <c r="F26" s="7" t="s">
        <v>28</v>
      </c>
      <c r="G26" s="7">
        <v>22</v>
      </c>
      <c r="H26" s="7" t="s">
        <v>21</v>
      </c>
      <c r="I26" s="7">
        <v>10</v>
      </c>
      <c r="J26" s="7">
        <v>12</v>
      </c>
      <c r="K26" s="7">
        <v>0</v>
      </c>
      <c r="L26" s="7">
        <v>8</v>
      </c>
      <c r="M26" s="7">
        <v>6.7</v>
      </c>
      <c r="N26" s="7">
        <v>0</v>
      </c>
      <c r="O26" s="2">
        <v>1</v>
      </c>
      <c r="P26" s="2">
        <v>0.91600000000000004</v>
      </c>
      <c r="Q26" s="2">
        <v>0.96599999999999997</v>
      </c>
      <c r="R26" s="7" t="s">
        <v>22</v>
      </c>
    </row>
    <row r="27" spans="1:18" x14ac:dyDescent="0.25">
      <c r="A27" s="1">
        <v>46077</v>
      </c>
      <c r="B27" s="7" t="s">
        <v>48</v>
      </c>
      <c r="C27" s="7" t="s">
        <v>137</v>
      </c>
      <c r="D27" s="7" t="s">
        <v>36</v>
      </c>
      <c r="E27" s="7" t="s">
        <v>35</v>
      </c>
      <c r="F27" s="7" t="s">
        <v>20</v>
      </c>
      <c r="G27" s="7">
        <v>22</v>
      </c>
      <c r="H27" s="7" t="s">
        <v>37</v>
      </c>
      <c r="I27" s="7">
        <v>14</v>
      </c>
      <c r="J27" s="7">
        <v>12</v>
      </c>
      <c r="K27" s="7">
        <v>2</v>
      </c>
      <c r="L27" s="7">
        <v>9</v>
      </c>
      <c r="M27" s="7">
        <v>9.4</v>
      </c>
      <c r="N27" s="7">
        <v>0.4</v>
      </c>
      <c r="O27" s="2">
        <v>0.89800000000000002</v>
      </c>
      <c r="P27" s="2">
        <v>0.93</v>
      </c>
      <c r="Q27" s="2">
        <v>0.91100000000000003</v>
      </c>
      <c r="R27" s="7" t="s">
        <v>22</v>
      </c>
    </row>
    <row r="28" spans="1:18" x14ac:dyDescent="0.25">
      <c r="A28" s="1">
        <v>46081</v>
      </c>
      <c r="B28" s="7" t="s">
        <v>48</v>
      </c>
      <c r="C28" s="7" t="s">
        <v>138</v>
      </c>
      <c r="D28" s="7" t="s">
        <v>41</v>
      </c>
      <c r="E28" s="7" t="s">
        <v>39</v>
      </c>
      <c r="F28" s="7" t="s">
        <v>28</v>
      </c>
      <c r="G28" s="7">
        <v>21</v>
      </c>
      <c r="H28" s="7" t="s">
        <v>21</v>
      </c>
      <c r="I28" s="7">
        <v>11</v>
      </c>
      <c r="J28" s="7">
        <v>9</v>
      </c>
      <c r="K28" s="7">
        <v>2</v>
      </c>
      <c r="L28" s="7">
        <v>7</v>
      </c>
      <c r="M28" s="7">
        <v>6.7</v>
      </c>
      <c r="N28" s="7">
        <v>0</v>
      </c>
      <c r="O28" s="2">
        <v>0.79200000000000004</v>
      </c>
      <c r="P28" s="2">
        <v>0.80100000000000005</v>
      </c>
      <c r="Q28" s="2">
        <v>0.79600000000000004</v>
      </c>
      <c r="R28" s="7" t="s">
        <v>40</v>
      </c>
    </row>
    <row r="29" spans="1:18" x14ac:dyDescent="0.25">
      <c r="A29" s="1">
        <v>46083</v>
      </c>
      <c r="B29" s="7" t="s">
        <v>52</v>
      </c>
      <c r="C29" s="7" t="s">
        <v>130</v>
      </c>
      <c r="D29" s="7" t="s">
        <v>53</v>
      </c>
      <c r="E29" s="7" t="s">
        <v>43</v>
      </c>
      <c r="F29" s="7" t="s">
        <v>24</v>
      </c>
      <c r="G29" s="7">
        <v>20</v>
      </c>
      <c r="H29" s="7" t="s">
        <v>37</v>
      </c>
      <c r="I29" s="7">
        <v>11</v>
      </c>
      <c r="J29" s="7">
        <v>8</v>
      </c>
      <c r="K29" s="7">
        <v>3</v>
      </c>
      <c r="L29" s="7">
        <v>7</v>
      </c>
      <c r="M29" s="7">
        <v>6.3</v>
      </c>
      <c r="N29" s="7">
        <v>0</v>
      </c>
      <c r="O29" s="2">
        <v>0.76100000000000001</v>
      </c>
      <c r="P29" s="2">
        <v>0.65400000000000003</v>
      </c>
      <c r="Q29" s="2">
        <v>0.71799999999999997</v>
      </c>
      <c r="R29" s="7" t="s">
        <v>54</v>
      </c>
    </row>
    <row r="30" spans="1:18" x14ac:dyDescent="0.25">
      <c r="A30" s="1">
        <v>46085</v>
      </c>
      <c r="B30" s="7" t="s">
        <v>52</v>
      </c>
      <c r="C30" s="7" t="s">
        <v>139</v>
      </c>
      <c r="D30" s="7" t="s">
        <v>42</v>
      </c>
      <c r="E30" s="7" t="s">
        <v>43</v>
      </c>
      <c r="F30" s="7" t="s">
        <v>20</v>
      </c>
      <c r="G30" s="7">
        <v>20</v>
      </c>
      <c r="H30" s="7" t="s">
        <v>21</v>
      </c>
      <c r="I30" s="7">
        <v>13</v>
      </c>
      <c r="J30" s="7">
        <v>10</v>
      </c>
      <c r="K30" s="7">
        <v>3</v>
      </c>
      <c r="L30" s="7">
        <v>9</v>
      </c>
      <c r="M30" s="7">
        <v>11</v>
      </c>
      <c r="N30" s="7">
        <v>2</v>
      </c>
      <c r="O30" s="2">
        <v>0.72699999999999998</v>
      </c>
      <c r="P30" s="2">
        <v>0.754</v>
      </c>
      <c r="Q30" s="2">
        <v>0.73799999999999999</v>
      </c>
      <c r="R30" s="7" t="s">
        <v>54</v>
      </c>
    </row>
    <row r="31" spans="1:18" x14ac:dyDescent="0.25">
      <c r="A31" s="1">
        <v>46087</v>
      </c>
      <c r="B31" s="7" t="s">
        <v>52</v>
      </c>
      <c r="C31" s="7" t="s">
        <v>140</v>
      </c>
      <c r="D31" s="7" t="s">
        <v>44</v>
      </c>
      <c r="E31" s="7" t="s">
        <v>19</v>
      </c>
      <c r="F31" s="7" t="s">
        <v>32</v>
      </c>
      <c r="G31" s="7">
        <v>20</v>
      </c>
      <c r="H31" s="7" t="s">
        <v>37</v>
      </c>
      <c r="I31" s="7">
        <v>10</v>
      </c>
      <c r="J31" s="7">
        <v>12</v>
      </c>
      <c r="K31" s="7">
        <v>0</v>
      </c>
      <c r="L31" s="7">
        <v>9</v>
      </c>
      <c r="M31" s="7">
        <v>9</v>
      </c>
      <c r="N31" s="7">
        <v>0</v>
      </c>
      <c r="O31" s="2">
        <v>1</v>
      </c>
      <c r="P31" s="2">
        <v>0.93300000000000005</v>
      </c>
      <c r="Q31" s="2">
        <v>0.97299999999999998</v>
      </c>
      <c r="R31" s="7" t="s">
        <v>22</v>
      </c>
    </row>
    <row r="32" spans="1:18" x14ac:dyDescent="0.25">
      <c r="A32" s="1">
        <v>46089</v>
      </c>
      <c r="B32" s="7" t="s">
        <v>52</v>
      </c>
      <c r="C32" s="7" t="s">
        <v>141</v>
      </c>
      <c r="D32" s="7" t="s">
        <v>45</v>
      </c>
      <c r="E32" s="7" t="s">
        <v>27</v>
      </c>
      <c r="F32" s="7" t="s">
        <v>24</v>
      </c>
      <c r="G32" s="7">
        <v>21</v>
      </c>
      <c r="H32" s="7" t="s">
        <v>21</v>
      </c>
      <c r="I32" s="7">
        <v>11</v>
      </c>
      <c r="J32" s="7">
        <v>8</v>
      </c>
      <c r="K32" s="7">
        <v>50</v>
      </c>
      <c r="L32" s="7">
        <v>7</v>
      </c>
      <c r="M32" s="7">
        <v>5.8</v>
      </c>
      <c r="N32" s="7">
        <v>0</v>
      </c>
      <c r="O32" s="2">
        <v>0.753</v>
      </c>
      <c r="P32" s="2">
        <v>0.71099999999999997</v>
      </c>
      <c r="Q32" s="2">
        <v>0.73599999999999999</v>
      </c>
      <c r="R32" s="7" t="s">
        <v>54</v>
      </c>
    </row>
    <row r="33" spans="1:18" x14ac:dyDescent="0.25">
      <c r="A33" s="1">
        <v>46091</v>
      </c>
      <c r="B33" s="7" t="s">
        <v>52</v>
      </c>
      <c r="C33" s="7" t="s">
        <v>142</v>
      </c>
      <c r="D33" s="7" t="s">
        <v>46</v>
      </c>
      <c r="E33" s="7" t="s">
        <v>31</v>
      </c>
      <c r="F33" s="7" t="s">
        <v>28</v>
      </c>
      <c r="G33" s="7">
        <v>21</v>
      </c>
      <c r="H33" s="7" t="s">
        <v>21</v>
      </c>
      <c r="I33" s="7">
        <v>19</v>
      </c>
      <c r="J33" s="7">
        <v>16</v>
      </c>
      <c r="K33" s="7">
        <v>3</v>
      </c>
      <c r="L33" s="7">
        <v>9</v>
      </c>
      <c r="M33" s="7">
        <v>9.9</v>
      </c>
      <c r="N33" s="7">
        <v>0.9</v>
      </c>
      <c r="O33" s="2">
        <v>0.86699999999999999</v>
      </c>
      <c r="P33" s="2">
        <v>0.88900000000000001</v>
      </c>
      <c r="Q33" s="2">
        <v>0.876</v>
      </c>
      <c r="R33" s="7" t="s">
        <v>40</v>
      </c>
    </row>
    <row r="34" spans="1:18" x14ac:dyDescent="0.25">
      <c r="A34" s="1">
        <v>46093</v>
      </c>
      <c r="B34" s="7" t="s">
        <v>52</v>
      </c>
      <c r="C34" s="7" t="s">
        <v>143</v>
      </c>
      <c r="D34" s="7" t="s">
        <v>47</v>
      </c>
      <c r="E34" s="7" t="s">
        <v>35</v>
      </c>
      <c r="F34" s="7" t="s">
        <v>32</v>
      </c>
      <c r="G34" s="7">
        <v>20</v>
      </c>
      <c r="H34" s="7" t="s">
        <v>21</v>
      </c>
      <c r="I34" s="7">
        <v>19</v>
      </c>
      <c r="J34" s="7">
        <v>18</v>
      </c>
      <c r="K34" s="7">
        <v>1</v>
      </c>
      <c r="L34" s="7">
        <v>7</v>
      </c>
      <c r="M34" s="7">
        <v>5.7</v>
      </c>
      <c r="N34" s="7">
        <v>0</v>
      </c>
      <c r="O34" s="2">
        <v>0.90700000000000003</v>
      </c>
      <c r="P34" s="2">
        <v>0.82899999999999996</v>
      </c>
      <c r="Q34" s="2">
        <v>0.876</v>
      </c>
      <c r="R34" s="7" t="s">
        <v>40</v>
      </c>
    </row>
    <row r="35" spans="1:18" x14ac:dyDescent="0.25">
      <c r="A35" s="1">
        <v>46095</v>
      </c>
      <c r="B35" s="7" t="s">
        <v>52</v>
      </c>
      <c r="C35" s="7" t="s">
        <v>144</v>
      </c>
      <c r="D35" s="7" t="s">
        <v>49</v>
      </c>
      <c r="E35" s="7" t="s">
        <v>39</v>
      </c>
      <c r="F35" s="7" t="s">
        <v>20</v>
      </c>
      <c r="G35" s="7">
        <v>21</v>
      </c>
      <c r="H35" s="7" t="s">
        <v>21</v>
      </c>
      <c r="I35" s="7">
        <v>14</v>
      </c>
      <c r="J35" s="7">
        <v>12</v>
      </c>
      <c r="K35" s="7">
        <v>2</v>
      </c>
      <c r="L35" s="7">
        <v>8</v>
      </c>
      <c r="M35" s="7">
        <v>8.1999999999999993</v>
      </c>
      <c r="N35" s="7">
        <v>0.2</v>
      </c>
      <c r="O35" s="2">
        <v>0.85099999999999998</v>
      </c>
      <c r="P35" s="2">
        <v>0.92300000000000004</v>
      </c>
      <c r="Q35" s="2">
        <v>0.88</v>
      </c>
      <c r="R35" s="7" t="s">
        <v>40</v>
      </c>
    </row>
    <row r="36" spans="1:18" x14ac:dyDescent="0.25">
      <c r="A36" s="1">
        <v>46097</v>
      </c>
      <c r="B36" s="7" t="s">
        <v>52</v>
      </c>
      <c r="C36" s="7" t="s">
        <v>145</v>
      </c>
      <c r="D36" s="7" t="s">
        <v>50</v>
      </c>
      <c r="E36" s="7" t="s">
        <v>43</v>
      </c>
      <c r="F36" s="7" t="s">
        <v>28</v>
      </c>
      <c r="G36" s="7">
        <v>20</v>
      </c>
      <c r="H36" s="7" t="s">
        <v>21</v>
      </c>
      <c r="I36" s="7">
        <v>20</v>
      </c>
      <c r="J36" s="7">
        <v>23</v>
      </c>
      <c r="K36" s="7">
        <v>0</v>
      </c>
      <c r="L36" s="7">
        <v>9</v>
      </c>
      <c r="M36" s="7">
        <v>6.8</v>
      </c>
      <c r="N36" s="7">
        <v>0</v>
      </c>
      <c r="O36" s="2">
        <v>1</v>
      </c>
      <c r="P36" s="2">
        <v>1</v>
      </c>
      <c r="Q36" s="2">
        <v>1</v>
      </c>
      <c r="R36" s="7" t="s">
        <v>22</v>
      </c>
    </row>
    <row r="37" spans="1:18" x14ac:dyDescent="0.25">
      <c r="A37" s="1">
        <v>46101</v>
      </c>
      <c r="B37" s="7" t="s">
        <v>52</v>
      </c>
      <c r="C37" s="7" t="s">
        <v>146</v>
      </c>
      <c r="D37" s="7" t="s">
        <v>51</v>
      </c>
      <c r="E37" s="7" t="s">
        <v>27</v>
      </c>
      <c r="F37" s="7" t="s">
        <v>32</v>
      </c>
      <c r="G37" s="7">
        <v>20</v>
      </c>
      <c r="H37" s="7" t="s">
        <v>21</v>
      </c>
      <c r="I37" s="7">
        <v>8</v>
      </c>
      <c r="J37" s="7">
        <v>6</v>
      </c>
      <c r="K37" s="7">
        <v>2</v>
      </c>
      <c r="L37" s="7">
        <v>8</v>
      </c>
      <c r="M37" s="7">
        <v>8.1999999999999993</v>
      </c>
      <c r="N37" s="7">
        <v>0.2</v>
      </c>
      <c r="O37" s="2">
        <v>0.67</v>
      </c>
      <c r="P37" s="2">
        <v>0.63600000000000001</v>
      </c>
      <c r="Q37" s="2">
        <v>0.65600000000000003</v>
      </c>
      <c r="R37" s="7" t="s">
        <v>54</v>
      </c>
    </row>
    <row r="38" spans="1:18" x14ac:dyDescent="0.25">
      <c r="A38" s="1">
        <v>46103</v>
      </c>
      <c r="B38" s="7" t="s">
        <v>52</v>
      </c>
      <c r="C38" s="7" t="s">
        <v>147</v>
      </c>
      <c r="D38" s="7" t="s">
        <v>18</v>
      </c>
      <c r="E38" s="7" t="s">
        <v>19</v>
      </c>
      <c r="F38" s="7" t="s">
        <v>20</v>
      </c>
      <c r="G38" s="7">
        <v>21</v>
      </c>
      <c r="H38" s="7" t="s">
        <v>21</v>
      </c>
      <c r="I38" s="7">
        <v>14</v>
      </c>
      <c r="J38" s="7">
        <v>16</v>
      </c>
      <c r="K38" s="7">
        <v>0</v>
      </c>
      <c r="L38" s="7">
        <v>9</v>
      </c>
      <c r="M38" s="7">
        <v>9.8000000000000007</v>
      </c>
      <c r="N38" s="7">
        <v>0.8</v>
      </c>
      <c r="O38" s="2">
        <v>1</v>
      </c>
      <c r="P38" s="2">
        <v>1</v>
      </c>
      <c r="Q38" s="2">
        <v>1</v>
      </c>
      <c r="R38" s="7" t="s">
        <v>22</v>
      </c>
    </row>
    <row r="39" spans="1:18" x14ac:dyDescent="0.25">
      <c r="A39" s="1">
        <v>46105</v>
      </c>
      <c r="B39" s="7" t="s">
        <v>52</v>
      </c>
      <c r="C39" s="7" t="s">
        <v>148</v>
      </c>
      <c r="D39" s="7" t="s">
        <v>23</v>
      </c>
      <c r="E39" s="7" t="s">
        <v>19</v>
      </c>
      <c r="F39" s="7" t="s">
        <v>24</v>
      </c>
      <c r="G39" s="7">
        <v>22</v>
      </c>
      <c r="H39" s="7" t="s">
        <v>21</v>
      </c>
      <c r="I39" s="7">
        <v>10</v>
      </c>
      <c r="J39" s="7">
        <v>8</v>
      </c>
      <c r="K39" s="7">
        <v>2</v>
      </c>
      <c r="L39" s="7">
        <v>8</v>
      </c>
      <c r="M39" s="7">
        <v>8.1999999999999993</v>
      </c>
      <c r="N39" s="7">
        <v>0.2</v>
      </c>
      <c r="O39" s="2">
        <v>0.755</v>
      </c>
      <c r="P39" s="2">
        <v>0.64800000000000002</v>
      </c>
      <c r="Q39" s="2">
        <v>0.71199999999999997</v>
      </c>
      <c r="R39" s="7" t="s">
        <v>54</v>
      </c>
    </row>
    <row r="40" spans="1:18" x14ac:dyDescent="0.25">
      <c r="A40" s="1">
        <v>46107</v>
      </c>
      <c r="B40" s="7" t="s">
        <v>52</v>
      </c>
      <c r="C40" s="7" t="s">
        <v>149</v>
      </c>
      <c r="D40" s="7" t="s">
        <v>26</v>
      </c>
      <c r="E40" s="7" t="s">
        <v>27</v>
      </c>
      <c r="F40" s="7" t="s">
        <v>28</v>
      </c>
      <c r="G40" s="7">
        <v>22</v>
      </c>
      <c r="H40" s="7" t="s">
        <v>37</v>
      </c>
      <c r="I40" s="7">
        <v>8</v>
      </c>
      <c r="J40" s="7">
        <v>10</v>
      </c>
      <c r="K40" s="7">
        <v>0</v>
      </c>
      <c r="L40" s="7">
        <v>8</v>
      </c>
      <c r="M40" s="7">
        <v>7.9</v>
      </c>
      <c r="N40" s="7">
        <v>0</v>
      </c>
      <c r="O40" s="2">
        <v>1</v>
      </c>
      <c r="P40" s="2">
        <v>1</v>
      </c>
      <c r="Q40" s="2">
        <v>1</v>
      </c>
      <c r="R40" s="7" t="s">
        <v>22</v>
      </c>
    </row>
    <row r="41" spans="1:18" x14ac:dyDescent="0.25">
      <c r="A41" s="1">
        <v>46109</v>
      </c>
      <c r="B41" s="7" t="s">
        <v>52</v>
      </c>
      <c r="C41" s="7" t="s">
        <v>150</v>
      </c>
      <c r="D41" s="7" t="s">
        <v>29</v>
      </c>
      <c r="E41" s="7" t="s">
        <v>27</v>
      </c>
      <c r="F41" s="7" t="s">
        <v>20</v>
      </c>
      <c r="G41" s="7">
        <v>22</v>
      </c>
      <c r="H41" s="7" t="s">
        <v>37</v>
      </c>
      <c r="I41" s="7">
        <v>10</v>
      </c>
      <c r="J41" s="7">
        <v>7</v>
      </c>
      <c r="K41" s="7">
        <v>3</v>
      </c>
      <c r="L41" s="7">
        <v>9</v>
      </c>
      <c r="M41" s="7">
        <v>8.6999999999999993</v>
      </c>
      <c r="N41" s="7">
        <v>0</v>
      </c>
      <c r="O41" s="2">
        <v>0.63300000000000001</v>
      </c>
      <c r="P41" s="2">
        <v>0.55400000000000005</v>
      </c>
      <c r="Q41" s="2">
        <v>0.60099999999999998</v>
      </c>
      <c r="R41" s="7" t="s">
        <v>54</v>
      </c>
    </row>
    <row r="42" spans="1:18" x14ac:dyDescent="0.25">
      <c r="A42" s="1">
        <v>46111</v>
      </c>
      <c r="B42" s="7" t="s">
        <v>52</v>
      </c>
      <c r="C42" s="7" t="s">
        <v>151</v>
      </c>
      <c r="D42" s="7" t="s">
        <v>30</v>
      </c>
      <c r="E42" s="7" t="s">
        <v>31</v>
      </c>
      <c r="F42" s="7" t="s">
        <v>32</v>
      </c>
      <c r="G42" s="7">
        <v>22</v>
      </c>
      <c r="H42" s="7" t="s">
        <v>21</v>
      </c>
      <c r="I42" s="7">
        <v>18</v>
      </c>
      <c r="J42" s="7">
        <v>21</v>
      </c>
      <c r="K42" s="7">
        <v>0</v>
      </c>
      <c r="L42" s="7">
        <v>7</v>
      </c>
      <c r="M42" s="7">
        <v>5.4</v>
      </c>
      <c r="N42" s="7">
        <v>0</v>
      </c>
      <c r="O42" s="2">
        <v>1</v>
      </c>
      <c r="P42" s="2">
        <v>1</v>
      </c>
      <c r="Q42" s="2">
        <v>1</v>
      </c>
      <c r="R42" s="7" t="s">
        <v>22</v>
      </c>
    </row>
    <row r="43" spans="1:18" x14ac:dyDescent="0.25">
      <c r="A43" s="1">
        <v>46113</v>
      </c>
      <c r="B43" s="7" t="s">
        <v>55</v>
      </c>
      <c r="C43" s="7" t="s">
        <v>152</v>
      </c>
      <c r="D43" s="7" t="s">
        <v>33</v>
      </c>
      <c r="E43" s="7" t="s">
        <v>31</v>
      </c>
      <c r="F43" s="7" t="s">
        <v>24</v>
      </c>
      <c r="G43" s="7">
        <v>22</v>
      </c>
      <c r="H43" s="7" t="s">
        <v>21</v>
      </c>
      <c r="I43" s="7">
        <v>17</v>
      </c>
      <c r="J43" s="7">
        <v>18</v>
      </c>
      <c r="K43" s="7">
        <v>0</v>
      </c>
      <c r="L43" s="7">
        <v>7</v>
      </c>
      <c r="M43" s="7">
        <v>6.2</v>
      </c>
      <c r="N43" s="7">
        <v>0</v>
      </c>
      <c r="O43" s="2">
        <v>1</v>
      </c>
      <c r="P43" s="2">
        <v>0.97199999999999998</v>
      </c>
      <c r="Q43" s="2">
        <v>0.98899999999999999</v>
      </c>
      <c r="R43" s="7" t="s">
        <v>22</v>
      </c>
    </row>
    <row r="44" spans="1:18" x14ac:dyDescent="0.25">
      <c r="A44" s="1">
        <v>46117</v>
      </c>
      <c r="B44" s="7" t="s">
        <v>55</v>
      </c>
      <c r="C44" s="7" t="s">
        <v>153</v>
      </c>
      <c r="D44" s="7" t="s">
        <v>36</v>
      </c>
      <c r="E44" s="7" t="s">
        <v>35</v>
      </c>
      <c r="F44" s="7" t="s">
        <v>20</v>
      </c>
      <c r="G44" s="7">
        <v>20</v>
      </c>
      <c r="H44" s="7" t="s">
        <v>21</v>
      </c>
      <c r="I44" s="7">
        <v>14</v>
      </c>
      <c r="J44" s="7">
        <v>12</v>
      </c>
      <c r="K44" s="7">
        <v>2</v>
      </c>
      <c r="L44" s="7">
        <v>9</v>
      </c>
      <c r="M44" s="7">
        <v>10.199999999999999</v>
      </c>
      <c r="N44" s="7">
        <v>1.2</v>
      </c>
      <c r="O44" s="2">
        <v>0.88</v>
      </c>
      <c r="P44" s="2">
        <v>0.86099999999999999</v>
      </c>
      <c r="Q44" s="2">
        <v>0.872</v>
      </c>
      <c r="R44" s="7" t="s">
        <v>40</v>
      </c>
    </row>
    <row r="45" spans="1:18" x14ac:dyDescent="0.25">
      <c r="A45" s="1">
        <v>46119</v>
      </c>
      <c r="B45" s="7" t="s">
        <v>55</v>
      </c>
      <c r="C45" s="7" t="s">
        <v>154</v>
      </c>
      <c r="D45" s="7" t="s">
        <v>38</v>
      </c>
      <c r="E45" s="7" t="s">
        <v>39</v>
      </c>
      <c r="F45" s="7" t="s">
        <v>32</v>
      </c>
      <c r="G45" s="7">
        <v>20</v>
      </c>
      <c r="H45" s="7" t="s">
        <v>21</v>
      </c>
      <c r="I45" s="7">
        <v>15</v>
      </c>
      <c r="J45" s="7">
        <v>16</v>
      </c>
      <c r="K45" s="7">
        <v>0</v>
      </c>
      <c r="L45" s="7">
        <v>9</v>
      </c>
      <c r="M45" s="7">
        <v>9.4</v>
      </c>
      <c r="N45" s="7">
        <v>0.4</v>
      </c>
      <c r="O45" s="2">
        <v>1</v>
      </c>
      <c r="P45" s="2">
        <v>0.89600000000000002</v>
      </c>
      <c r="Q45" s="2">
        <v>0.95799999999999996</v>
      </c>
      <c r="R45" s="7" t="s">
        <v>22</v>
      </c>
    </row>
    <row r="46" spans="1:18" x14ac:dyDescent="0.25">
      <c r="A46" s="1">
        <v>46121</v>
      </c>
      <c r="B46" s="7" t="s">
        <v>55</v>
      </c>
      <c r="C46" s="7" t="s">
        <v>155</v>
      </c>
      <c r="D46" s="7" t="s">
        <v>41</v>
      </c>
      <c r="E46" s="7" t="s">
        <v>39</v>
      </c>
      <c r="F46" s="7" t="s">
        <v>28</v>
      </c>
      <c r="G46" s="7">
        <v>20</v>
      </c>
      <c r="H46" s="7" t="s">
        <v>37</v>
      </c>
      <c r="I46" s="7">
        <v>12</v>
      </c>
      <c r="J46" s="7">
        <v>10</v>
      </c>
      <c r="K46" s="7">
        <v>2</v>
      </c>
      <c r="L46" s="7">
        <v>8</v>
      </c>
      <c r="M46" s="7">
        <v>6.1</v>
      </c>
      <c r="N46" s="7">
        <v>0</v>
      </c>
      <c r="O46" s="2">
        <v>0.89400000000000002</v>
      </c>
      <c r="P46" s="2">
        <v>0.96699999999999997</v>
      </c>
      <c r="Q46" s="2">
        <v>0.92300000000000004</v>
      </c>
      <c r="R46" s="7" t="s">
        <v>22</v>
      </c>
    </row>
    <row r="47" spans="1:18" x14ac:dyDescent="0.25">
      <c r="A47" s="1">
        <v>46123</v>
      </c>
      <c r="B47" s="7" t="s">
        <v>55</v>
      </c>
      <c r="C47" s="7" t="s">
        <v>156</v>
      </c>
      <c r="D47" s="7" t="s">
        <v>53</v>
      </c>
      <c r="E47" s="7" t="s">
        <v>43</v>
      </c>
      <c r="F47" s="7" t="s">
        <v>24</v>
      </c>
      <c r="G47" s="7">
        <v>21</v>
      </c>
      <c r="H47" s="7" t="s">
        <v>21</v>
      </c>
      <c r="I47" s="7">
        <v>10</v>
      </c>
      <c r="J47" s="7">
        <v>10</v>
      </c>
      <c r="K47" s="7">
        <v>0</v>
      </c>
      <c r="L47" s="7">
        <v>9</v>
      </c>
      <c r="M47" s="7">
        <v>9.4</v>
      </c>
      <c r="N47" s="7">
        <v>0.4</v>
      </c>
      <c r="O47" s="2">
        <v>1</v>
      </c>
      <c r="P47" s="2">
        <v>1</v>
      </c>
      <c r="Q47" s="2">
        <v>1</v>
      </c>
      <c r="R47" s="7" t="s">
        <v>22</v>
      </c>
    </row>
    <row r="48" spans="1:18" x14ac:dyDescent="0.25">
      <c r="A48" s="1">
        <v>46125</v>
      </c>
      <c r="B48" s="7" t="s">
        <v>55</v>
      </c>
      <c r="C48" s="7" t="s">
        <v>157</v>
      </c>
      <c r="D48" s="7" t="s">
        <v>42</v>
      </c>
      <c r="E48" s="7" t="s">
        <v>43</v>
      </c>
      <c r="F48" s="7" t="s">
        <v>20</v>
      </c>
      <c r="G48" s="7">
        <v>22</v>
      </c>
      <c r="H48" s="7" t="s">
        <v>37</v>
      </c>
      <c r="I48" s="7">
        <v>8</v>
      </c>
      <c r="J48" s="7">
        <v>10</v>
      </c>
      <c r="K48" s="7">
        <v>0</v>
      </c>
      <c r="L48" s="7">
        <v>9</v>
      </c>
      <c r="M48" s="7">
        <v>8.6</v>
      </c>
      <c r="N48" s="7">
        <v>0</v>
      </c>
      <c r="O48" s="2">
        <v>1</v>
      </c>
      <c r="P48" s="2">
        <v>1</v>
      </c>
      <c r="Q48" s="2">
        <v>1</v>
      </c>
      <c r="R48" s="7" t="s">
        <v>22</v>
      </c>
    </row>
    <row r="49" spans="1:18" x14ac:dyDescent="0.25">
      <c r="A49" s="1">
        <v>46127</v>
      </c>
      <c r="B49" s="7" t="s">
        <v>55</v>
      </c>
      <c r="C49" s="7" t="s">
        <v>158</v>
      </c>
      <c r="D49" s="7" t="s">
        <v>44</v>
      </c>
      <c r="E49" s="7" t="s">
        <v>19</v>
      </c>
      <c r="F49" s="7" t="s">
        <v>32</v>
      </c>
      <c r="G49" s="7">
        <v>20</v>
      </c>
      <c r="H49" s="7" t="s">
        <v>21</v>
      </c>
      <c r="I49" s="7">
        <v>9</v>
      </c>
      <c r="J49" s="7">
        <v>6</v>
      </c>
      <c r="K49" s="7">
        <v>70</v>
      </c>
      <c r="L49" s="7">
        <v>9</v>
      </c>
      <c r="M49" s="7">
        <v>8.3000000000000007</v>
      </c>
      <c r="N49" s="7">
        <v>0</v>
      </c>
      <c r="O49" s="2">
        <v>0.67500000000000004</v>
      </c>
      <c r="P49" s="2">
        <v>0.61499999999999999</v>
      </c>
      <c r="Q49" s="2">
        <v>0.65100000000000002</v>
      </c>
      <c r="R49" s="7" t="s">
        <v>54</v>
      </c>
    </row>
    <row r="50" spans="1:18" x14ac:dyDescent="0.25">
      <c r="A50" s="1">
        <v>46131</v>
      </c>
      <c r="B50" s="7" t="s">
        <v>55</v>
      </c>
      <c r="C50" s="7" t="s">
        <v>159</v>
      </c>
      <c r="D50" s="7" t="s">
        <v>46</v>
      </c>
      <c r="E50" s="7" t="s">
        <v>31</v>
      </c>
      <c r="F50" s="7" t="s">
        <v>28</v>
      </c>
      <c r="G50" s="7">
        <v>22</v>
      </c>
      <c r="H50" s="7" t="s">
        <v>21</v>
      </c>
      <c r="I50" s="7">
        <v>12</v>
      </c>
      <c r="J50" s="7">
        <v>15</v>
      </c>
      <c r="K50" s="7">
        <v>0</v>
      </c>
      <c r="L50" s="7">
        <v>7</v>
      </c>
      <c r="M50" s="7">
        <v>8.1</v>
      </c>
      <c r="N50" s="7">
        <v>1.1000000000000001</v>
      </c>
      <c r="O50" s="2">
        <v>1</v>
      </c>
      <c r="P50" s="2">
        <v>0.97299999999999998</v>
      </c>
      <c r="Q50" s="2">
        <v>0.98899999999999999</v>
      </c>
      <c r="R50" s="7" t="s">
        <v>22</v>
      </c>
    </row>
    <row r="51" spans="1:18" x14ac:dyDescent="0.25">
      <c r="A51" s="1">
        <v>46133</v>
      </c>
      <c r="B51" s="7" t="s">
        <v>55</v>
      </c>
      <c r="C51" s="7" t="s">
        <v>160</v>
      </c>
      <c r="D51" s="7" t="s">
        <v>47</v>
      </c>
      <c r="E51" s="7" t="s">
        <v>35</v>
      </c>
      <c r="F51" s="7" t="s">
        <v>32</v>
      </c>
      <c r="G51" s="7">
        <v>21</v>
      </c>
      <c r="H51" s="7" t="s">
        <v>21</v>
      </c>
      <c r="I51" s="7">
        <v>8</v>
      </c>
      <c r="J51" s="7">
        <v>7</v>
      </c>
      <c r="K51" s="7">
        <v>1</v>
      </c>
      <c r="L51" s="7">
        <v>7</v>
      </c>
      <c r="M51" s="7">
        <v>8</v>
      </c>
      <c r="N51" s="7">
        <v>1</v>
      </c>
      <c r="O51" s="2">
        <v>0.89700000000000002</v>
      </c>
      <c r="P51" s="2">
        <v>0.83499999999999996</v>
      </c>
      <c r="Q51" s="2">
        <v>0.872</v>
      </c>
      <c r="R51" s="7" t="s">
        <v>40</v>
      </c>
    </row>
    <row r="52" spans="1:18" x14ac:dyDescent="0.25">
      <c r="A52" s="1">
        <v>46135</v>
      </c>
      <c r="B52" s="7" t="s">
        <v>55</v>
      </c>
      <c r="C52" s="7" t="s">
        <v>161</v>
      </c>
      <c r="D52" s="7" t="s">
        <v>49</v>
      </c>
      <c r="E52" s="7" t="s">
        <v>39</v>
      </c>
      <c r="F52" s="7" t="s">
        <v>20</v>
      </c>
      <c r="G52" s="7">
        <v>22</v>
      </c>
      <c r="H52" s="7" t="s">
        <v>21</v>
      </c>
      <c r="I52" s="7">
        <v>16</v>
      </c>
      <c r="J52" s="7">
        <v>18</v>
      </c>
      <c r="K52" s="7">
        <v>0</v>
      </c>
      <c r="L52" s="7">
        <v>8</v>
      </c>
      <c r="M52" s="7">
        <v>7.1</v>
      </c>
      <c r="N52" s="7">
        <v>0</v>
      </c>
      <c r="O52" s="2">
        <v>1</v>
      </c>
      <c r="P52" s="2">
        <v>0.90500000000000003</v>
      </c>
      <c r="Q52" s="2">
        <v>0.96199999999999997</v>
      </c>
      <c r="R52" s="7" t="s">
        <v>22</v>
      </c>
    </row>
    <row r="53" spans="1:18" x14ac:dyDescent="0.25">
      <c r="A53" s="1">
        <v>46137</v>
      </c>
      <c r="B53" s="7" t="s">
        <v>55</v>
      </c>
      <c r="C53" s="7" t="s">
        <v>162</v>
      </c>
      <c r="D53" s="7" t="s">
        <v>50</v>
      </c>
      <c r="E53" s="7" t="s">
        <v>43</v>
      </c>
      <c r="F53" s="7" t="s">
        <v>28</v>
      </c>
      <c r="G53" s="7">
        <v>22</v>
      </c>
      <c r="H53" s="7" t="s">
        <v>21</v>
      </c>
      <c r="I53" s="7">
        <v>16</v>
      </c>
      <c r="J53" s="7">
        <v>13</v>
      </c>
      <c r="K53" s="7">
        <v>3</v>
      </c>
      <c r="L53" s="7">
        <v>8</v>
      </c>
      <c r="M53" s="7">
        <v>7.7</v>
      </c>
      <c r="N53" s="7">
        <v>0</v>
      </c>
      <c r="O53" s="2">
        <v>0.82599999999999996</v>
      </c>
      <c r="P53" s="2">
        <v>0.73899999999999999</v>
      </c>
      <c r="Q53" s="2">
        <v>0.79100000000000004</v>
      </c>
      <c r="R53" s="7" t="s">
        <v>40</v>
      </c>
    </row>
    <row r="54" spans="1:18" x14ac:dyDescent="0.25">
      <c r="A54" s="1">
        <v>46139</v>
      </c>
      <c r="B54" s="7" t="s">
        <v>55</v>
      </c>
      <c r="C54" s="7" t="s">
        <v>131</v>
      </c>
      <c r="D54" s="7" t="s">
        <v>56</v>
      </c>
      <c r="E54" s="7" t="s">
        <v>19</v>
      </c>
      <c r="F54" s="7" t="s">
        <v>24</v>
      </c>
      <c r="G54" s="7">
        <v>20</v>
      </c>
      <c r="H54" s="7" t="s">
        <v>21</v>
      </c>
      <c r="I54" s="7">
        <v>12</v>
      </c>
      <c r="J54" s="7">
        <v>11</v>
      </c>
      <c r="K54" s="7">
        <v>1</v>
      </c>
      <c r="L54" s="7">
        <v>7</v>
      </c>
      <c r="M54" s="7">
        <v>7.4</v>
      </c>
      <c r="N54" s="7">
        <v>0.4</v>
      </c>
      <c r="O54" s="2">
        <v>0.98</v>
      </c>
      <c r="P54" s="2">
        <v>0.90600000000000003</v>
      </c>
      <c r="Q54" s="2">
        <v>0.95</v>
      </c>
      <c r="R54" s="7" t="s">
        <v>22</v>
      </c>
    </row>
    <row r="55" spans="1:18" x14ac:dyDescent="0.25">
      <c r="A55" s="1">
        <v>46141</v>
      </c>
      <c r="B55" s="7" t="s">
        <v>55</v>
      </c>
      <c r="C55" s="7" t="s">
        <v>163</v>
      </c>
      <c r="D55" s="7" t="s">
        <v>51</v>
      </c>
      <c r="E55" s="7" t="s">
        <v>27</v>
      </c>
      <c r="F55" s="7" t="s">
        <v>32</v>
      </c>
      <c r="G55" s="7">
        <v>20</v>
      </c>
      <c r="H55" s="7" t="s">
        <v>25</v>
      </c>
      <c r="I55" s="7">
        <v>9</v>
      </c>
      <c r="J55" s="7">
        <v>8</v>
      </c>
      <c r="K55" s="7">
        <v>1</v>
      </c>
      <c r="L55" s="7">
        <v>9</v>
      </c>
      <c r="M55" s="7">
        <v>10.1</v>
      </c>
      <c r="N55" s="7">
        <v>1.1000000000000001</v>
      </c>
      <c r="O55" s="2">
        <v>0.95</v>
      </c>
      <c r="P55" s="2">
        <v>0.91900000000000004</v>
      </c>
      <c r="Q55" s="2">
        <v>0.93799999999999994</v>
      </c>
      <c r="R55" s="7" t="s">
        <v>22</v>
      </c>
    </row>
    <row r="56" spans="1:18" x14ac:dyDescent="0.25">
      <c r="A56" s="1">
        <v>46143</v>
      </c>
      <c r="B56" s="7" t="s">
        <v>57</v>
      </c>
      <c r="C56" s="7" t="s">
        <v>164</v>
      </c>
      <c r="D56" s="7" t="s">
        <v>18</v>
      </c>
      <c r="E56" s="7" t="s">
        <v>19</v>
      </c>
      <c r="F56" s="7" t="s">
        <v>20</v>
      </c>
      <c r="G56" s="7">
        <v>22</v>
      </c>
      <c r="H56" s="7" t="s">
        <v>25</v>
      </c>
      <c r="I56" s="7">
        <v>10</v>
      </c>
      <c r="J56" s="7">
        <v>8</v>
      </c>
      <c r="K56" s="7">
        <v>2</v>
      </c>
      <c r="L56" s="7">
        <v>7</v>
      </c>
      <c r="M56" s="7">
        <v>6.5</v>
      </c>
      <c r="N56" s="7">
        <v>0</v>
      </c>
      <c r="O56" s="2">
        <v>0.876</v>
      </c>
      <c r="P56" s="2">
        <v>0.93400000000000005</v>
      </c>
      <c r="Q56" s="2">
        <v>0.89900000000000002</v>
      </c>
      <c r="R56" s="7" t="s">
        <v>40</v>
      </c>
    </row>
    <row r="57" spans="1:18" x14ac:dyDescent="0.25">
      <c r="A57" s="1">
        <v>46145</v>
      </c>
      <c r="B57" s="7" t="s">
        <v>57</v>
      </c>
      <c r="C57" s="7" t="s">
        <v>165</v>
      </c>
      <c r="D57" s="7" t="s">
        <v>23</v>
      </c>
      <c r="E57" s="7" t="s">
        <v>19</v>
      </c>
      <c r="F57" s="7" t="s">
        <v>24</v>
      </c>
      <c r="G57" s="7">
        <v>21</v>
      </c>
      <c r="H57" s="7" t="s">
        <v>21</v>
      </c>
      <c r="I57" s="7">
        <v>10</v>
      </c>
      <c r="J57" s="7">
        <v>12</v>
      </c>
      <c r="K57" s="7">
        <v>0</v>
      </c>
      <c r="L57" s="7">
        <v>8</v>
      </c>
      <c r="M57" s="7">
        <v>7.8</v>
      </c>
      <c r="N57" s="7">
        <v>0</v>
      </c>
      <c r="O57" s="2">
        <v>1</v>
      </c>
      <c r="P57" s="2">
        <v>0.97099999999999997</v>
      </c>
      <c r="Q57" s="2">
        <v>0.98799999999999999</v>
      </c>
      <c r="R57" s="7" t="s">
        <v>22</v>
      </c>
    </row>
    <row r="58" spans="1:18" x14ac:dyDescent="0.25">
      <c r="A58" s="1">
        <v>46149</v>
      </c>
      <c r="B58" s="7" t="s">
        <v>57</v>
      </c>
      <c r="C58" s="7" t="s">
        <v>166</v>
      </c>
      <c r="D58" s="7" t="s">
        <v>29</v>
      </c>
      <c r="E58" s="7" t="s">
        <v>27</v>
      </c>
      <c r="F58" s="7" t="s">
        <v>20</v>
      </c>
      <c r="G58" s="7">
        <v>21</v>
      </c>
      <c r="H58" s="7" t="s">
        <v>21</v>
      </c>
      <c r="I58" s="7">
        <v>15</v>
      </c>
      <c r="J58" s="7">
        <v>13</v>
      </c>
      <c r="K58" s="7">
        <v>2</v>
      </c>
      <c r="L58" s="7">
        <v>7</v>
      </c>
      <c r="M58" s="7">
        <v>5.7</v>
      </c>
      <c r="N58" s="7">
        <v>0</v>
      </c>
      <c r="O58" s="2">
        <v>0.91700000000000004</v>
      </c>
      <c r="P58" s="2">
        <v>0.89800000000000002</v>
      </c>
      <c r="Q58" s="2">
        <v>0.90900000000000003</v>
      </c>
      <c r="R58" s="7" t="s">
        <v>22</v>
      </c>
    </row>
    <row r="59" spans="1:18" x14ac:dyDescent="0.25">
      <c r="A59" s="1">
        <v>46151</v>
      </c>
      <c r="B59" s="7" t="s">
        <v>57</v>
      </c>
      <c r="C59" s="7" t="s">
        <v>167</v>
      </c>
      <c r="D59" s="7" t="s">
        <v>30</v>
      </c>
      <c r="E59" s="7" t="s">
        <v>31</v>
      </c>
      <c r="F59" s="7" t="s">
        <v>32</v>
      </c>
      <c r="G59" s="7">
        <v>21</v>
      </c>
      <c r="H59" s="7" t="s">
        <v>21</v>
      </c>
      <c r="I59" s="7">
        <v>11</v>
      </c>
      <c r="J59" s="7">
        <v>8</v>
      </c>
      <c r="K59" s="7">
        <v>3</v>
      </c>
      <c r="L59" s="7">
        <v>9</v>
      </c>
      <c r="M59" s="7">
        <v>9.9</v>
      </c>
      <c r="N59" s="7">
        <v>0.9</v>
      </c>
      <c r="O59" s="2">
        <v>0.67800000000000005</v>
      </c>
      <c r="P59" s="2">
        <v>0.63</v>
      </c>
      <c r="Q59" s="2">
        <v>0.65900000000000003</v>
      </c>
      <c r="R59" s="7" t="s">
        <v>54</v>
      </c>
    </row>
    <row r="60" spans="1:18" x14ac:dyDescent="0.25">
      <c r="A60" s="1">
        <v>46153</v>
      </c>
      <c r="B60" s="7" t="s">
        <v>57</v>
      </c>
      <c r="C60" s="7" t="s">
        <v>168</v>
      </c>
      <c r="D60" s="7" t="s">
        <v>33</v>
      </c>
      <c r="E60" s="7" t="s">
        <v>31</v>
      </c>
      <c r="F60" s="7" t="s">
        <v>24</v>
      </c>
      <c r="G60" s="7">
        <v>20</v>
      </c>
      <c r="H60" s="7" t="s">
        <v>21</v>
      </c>
      <c r="I60" s="7">
        <v>13</v>
      </c>
      <c r="J60" s="7">
        <v>15</v>
      </c>
      <c r="K60" s="7">
        <v>0</v>
      </c>
      <c r="L60" s="7">
        <v>9</v>
      </c>
      <c r="M60" s="7">
        <v>10.5</v>
      </c>
      <c r="N60" s="7">
        <v>1.5</v>
      </c>
      <c r="O60" s="2">
        <v>1</v>
      </c>
      <c r="P60" s="2">
        <v>1</v>
      </c>
      <c r="Q60" s="2">
        <v>1</v>
      </c>
      <c r="R60" s="7" t="s">
        <v>22</v>
      </c>
    </row>
    <row r="61" spans="1:18" x14ac:dyDescent="0.25">
      <c r="A61" s="1">
        <v>46155</v>
      </c>
      <c r="B61" s="7" t="s">
        <v>57</v>
      </c>
      <c r="C61" s="7" t="s">
        <v>169</v>
      </c>
      <c r="D61" s="7" t="s">
        <v>34</v>
      </c>
      <c r="E61" s="7" t="s">
        <v>35</v>
      </c>
      <c r="F61" s="7" t="s">
        <v>28</v>
      </c>
      <c r="G61" s="7">
        <v>22</v>
      </c>
      <c r="H61" s="7" t="s">
        <v>21</v>
      </c>
      <c r="I61" s="7">
        <v>8</v>
      </c>
      <c r="J61" s="7">
        <v>5</v>
      </c>
      <c r="K61" s="7">
        <v>50</v>
      </c>
      <c r="L61" s="7">
        <v>8</v>
      </c>
      <c r="M61" s="7">
        <v>7.9</v>
      </c>
      <c r="N61" s="7">
        <v>0</v>
      </c>
      <c r="O61" s="2">
        <v>0.57399999999999995</v>
      </c>
      <c r="P61" s="2">
        <v>0.66600000000000004</v>
      </c>
      <c r="Q61" s="2">
        <v>0.61099999999999999</v>
      </c>
      <c r="R61" s="7" t="s">
        <v>54</v>
      </c>
    </row>
    <row r="62" spans="1:18" x14ac:dyDescent="0.25">
      <c r="A62" s="1">
        <v>46157</v>
      </c>
      <c r="B62" s="7" t="s">
        <v>57</v>
      </c>
      <c r="C62" s="7" t="s">
        <v>170</v>
      </c>
      <c r="D62" s="7" t="s">
        <v>36</v>
      </c>
      <c r="E62" s="7" t="s">
        <v>35</v>
      </c>
      <c r="F62" s="7" t="s">
        <v>20</v>
      </c>
      <c r="G62" s="7">
        <v>21</v>
      </c>
      <c r="H62" s="7" t="s">
        <v>21</v>
      </c>
      <c r="I62" s="7">
        <v>9</v>
      </c>
      <c r="J62" s="7">
        <v>10</v>
      </c>
      <c r="K62" s="7">
        <v>0</v>
      </c>
      <c r="L62" s="7">
        <v>8</v>
      </c>
      <c r="M62" s="7">
        <v>9.1</v>
      </c>
      <c r="N62" s="7">
        <v>1.1000000000000001</v>
      </c>
      <c r="O62" s="2">
        <v>1</v>
      </c>
      <c r="P62" s="2">
        <v>1</v>
      </c>
      <c r="Q62" s="2">
        <v>1</v>
      </c>
      <c r="R62" s="7" t="s">
        <v>22</v>
      </c>
    </row>
    <row r="63" spans="1:18" x14ac:dyDescent="0.25">
      <c r="A63" s="1">
        <v>46159</v>
      </c>
      <c r="B63" s="7" t="s">
        <v>57</v>
      </c>
      <c r="C63" s="7" t="s">
        <v>171</v>
      </c>
      <c r="D63" s="7" t="s">
        <v>38</v>
      </c>
      <c r="E63" s="7" t="s">
        <v>39</v>
      </c>
      <c r="F63" s="7" t="s">
        <v>32</v>
      </c>
      <c r="G63" s="7">
        <v>21</v>
      </c>
      <c r="H63" s="7" t="s">
        <v>37</v>
      </c>
      <c r="I63" s="7">
        <v>16</v>
      </c>
      <c r="J63" s="7">
        <v>13</v>
      </c>
      <c r="K63" s="7">
        <v>3</v>
      </c>
      <c r="L63" s="7">
        <v>8</v>
      </c>
      <c r="M63" s="7">
        <v>8.4</v>
      </c>
      <c r="N63" s="7">
        <v>0.4</v>
      </c>
      <c r="O63" s="2">
        <v>0.876</v>
      </c>
      <c r="P63" s="2">
        <v>0.79800000000000004</v>
      </c>
      <c r="Q63" s="2">
        <v>0.84499999999999997</v>
      </c>
      <c r="R63" s="7" t="s">
        <v>40</v>
      </c>
    </row>
    <row r="64" spans="1:18" x14ac:dyDescent="0.25">
      <c r="A64" s="1">
        <v>46163</v>
      </c>
      <c r="B64" s="7" t="s">
        <v>57</v>
      </c>
      <c r="C64" s="7" t="s">
        <v>172</v>
      </c>
      <c r="D64" s="7" t="s">
        <v>53</v>
      </c>
      <c r="E64" s="7" t="s">
        <v>43</v>
      </c>
      <c r="F64" s="7" t="s">
        <v>24</v>
      </c>
      <c r="G64" s="7">
        <v>22</v>
      </c>
      <c r="H64" s="7" t="s">
        <v>25</v>
      </c>
      <c r="I64" s="7">
        <v>19</v>
      </c>
      <c r="J64" s="7">
        <v>21</v>
      </c>
      <c r="K64" s="7">
        <v>0</v>
      </c>
      <c r="L64" s="7">
        <v>7</v>
      </c>
      <c r="M64" s="7">
        <v>7.4</v>
      </c>
      <c r="N64" s="7">
        <v>0.4</v>
      </c>
      <c r="O64" s="2">
        <v>1</v>
      </c>
      <c r="P64" s="2">
        <v>0.89500000000000002</v>
      </c>
      <c r="Q64" s="2">
        <v>0.95799999999999996</v>
      </c>
      <c r="R64" s="7" t="s">
        <v>22</v>
      </c>
    </row>
    <row r="65" spans="1:18" x14ac:dyDescent="0.25">
      <c r="A65" s="1">
        <v>46165</v>
      </c>
      <c r="B65" s="7" t="s">
        <v>57</v>
      </c>
      <c r="C65" s="7" t="s">
        <v>173</v>
      </c>
      <c r="D65" s="7" t="s">
        <v>42</v>
      </c>
      <c r="E65" s="7" t="s">
        <v>43</v>
      </c>
      <c r="F65" s="7" t="s">
        <v>20</v>
      </c>
      <c r="G65" s="7">
        <v>22</v>
      </c>
      <c r="H65" s="7" t="s">
        <v>21</v>
      </c>
      <c r="I65" s="7">
        <v>17</v>
      </c>
      <c r="J65" s="7">
        <v>16</v>
      </c>
      <c r="K65" s="7">
        <v>1</v>
      </c>
      <c r="L65" s="7">
        <v>9</v>
      </c>
      <c r="M65" s="7">
        <v>10.7</v>
      </c>
      <c r="N65" s="7">
        <v>1.7</v>
      </c>
      <c r="O65" s="2">
        <v>0.997</v>
      </c>
      <c r="P65" s="2">
        <v>1</v>
      </c>
      <c r="Q65" s="2">
        <v>0.998</v>
      </c>
      <c r="R65" s="7" t="s">
        <v>22</v>
      </c>
    </row>
    <row r="66" spans="1:18" x14ac:dyDescent="0.25">
      <c r="A66" s="1">
        <v>46167</v>
      </c>
      <c r="B66" s="7" t="s">
        <v>57</v>
      </c>
      <c r="C66" s="7" t="s">
        <v>174</v>
      </c>
      <c r="D66" s="7" t="s">
        <v>44</v>
      </c>
      <c r="E66" s="7" t="s">
        <v>19</v>
      </c>
      <c r="F66" s="7" t="s">
        <v>32</v>
      </c>
      <c r="G66" s="7">
        <v>21</v>
      </c>
      <c r="H66" s="7" t="s">
        <v>37</v>
      </c>
      <c r="I66" s="7">
        <v>12</v>
      </c>
      <c r="J66" s="7">
        <v>14</v>
      </c>
      <c r="K66" s="7">
        <v>0</v>
      </c>
      <c r="L66" s="7">
        <v>8</v>
      </c>
      <c r="M66" s="7">
        <v>8</v>
      </c>
      <c r="N66" s="7">
        <v>0</v>
      </c>
      <c r="O66" s="2">
        <v>1</v>
      </c>
      <c r="P66" s="2">
        <v>1</v>
      </c>
      <c r="Q66" s="2">
        <v>1</v>
      </c>
      <c r="R66" s="7" t="s">
        <v>22</v>
      </c>
    </row>
    <row r="67" spans="1:18" x14ac:dyDescent="0.25">
      <c r="A67" s="1">
        <v>46169</v>
      </c>
      <c r="B67" s="7" t="s">
        <v>57</v>
      </c>
      <c r="C67" s="7" t="s">
        <v>175</v>
      </c>
      <c r="D67" s="7" t="s">
        <v>45</v>
      </c>
      <c r="E67" s="7" t="s">
        <v>27</v>
      </c>
      <c r="F67" s="7" t="s">
        <v>24</v>
      </c>
      <c r="G67" s="7">
        <v>22</v>
      </c>
      <c r="H67" s="7" t="s">
        <v>21</v>
      </c>
      <c r="I67" s="7">
        <v>11</v>
      </c>
      <c r="J67" s="7">
        <v>11</v>
      </c>
      <c r="K67" s="7">
        <v>0</v>
      </c>
      <c r="L67" s="7">
        <v>9</v>
      </c>
      <c r="M67" s="7">
        <v>10.7</v>
      </c>
      <c r="N67" s="7">
        <v>1.7</v>
      </c>
      <c r="O67" s="2">
        <v>1</v>
      </c>
      <c r="P67" s="2">
        <v>1</v>
      </c>
      <c r="Q67" s="2">
        <v>1</v>
      </c>
      <c r="R67" s="7" t="s">
        <v>22</v>
      </c>
    </row>
    <row r="68" spans="1:18" x14ac:dyDescent="0.25">
      <c r="A68" s="1">
        <v>46171</v>
      </c>
      <c r="B68" s="7" t="s">
        <v>57</v>
      </c>
      <c r="C68" s="7" t="s">
        <v>176</v>
      </c>
      <c r="D68" s="7" t="s">
        <v>46</v>
      </c>
      <c r="E68" s="7" t="s">
        <v>31</v>
      </c>
      <c r="F68" s="7" t="s">
        <v>28</v>
      </c>
      <c r="G68" s="7">
        <v>20</v>
      </c>
      <c r="H68" s="7" t="s">
        <v>37</v>
      </c>
      <c r="I68" s="7">
        <v>17</v>
      </c>
      <c r="J68" s="7">
        <v>16</v>
      </c>
      <c r="K68" s="7">
        <v>1</v>
      </c>
      <c r="L68" s="7">
        <v>8</v>
      </c>
      <c r="M68" s="7">
        <v>5.0999999999999996</v>
      </c>
      <c r="N68" s="7">
        <v>0</v>
      </c>
      <c r="O68" s="2">
        <v>0.94899999999999995</v>
      </c>
      <c r="P68" s="2">
        <v>0.82899999999999996</v>
      </c>
      <c r="Q68" s="2">
        <v>0.90100000000000002</v>
      </c>
      <c r="R68" s="7" t="s">
        <v>22</v>
      </c>
    </row>
    <row r="69" spans="1:18" x14ac:dyDescent="0.25">
      <c r="A69" s="1">
        <v>46173</v>
      </c>
      <c r="B69" s="7" t="s">
        <v>57</v>
      </c>
      <c r="C69" s="7" t="s">
        <v>177</v>
      </c>
      <c r="D69" s="7" t="s">
        <v>47</v>
      </c>
      <c r="E69" s="7" t="s">
        <v>35</v>
      </c>
      <c r="F69" s="7" t="s">
        <v>32</v>
      </c>
      <c r="G69" s="7">
        <v>21</v>
      </c>
      <c r="H69" s="7" t="s">
        <v>21</v>
      </c>
      <c r="I69" s="7">
        <v>14</v>
      </c>
      <c r="J69" s="7">
        <v>17</v>
      </c>
      <c r="K69" s="7">
        <v>0</v>
      </c>
      <c r="L69" s="7">
        <v>9</v>
      </c>
      <c r="M69" s="7">
        <v>9.9</v>
      </c>
      <c r="N69" s="7">
        <v>0.9</v>
      </c>
      <c r="O69" s="2">
        <v>1</v>
      </c>
      <c r="P69" s="2">
        <v>0.95099999999999996</v>
      </c>
      <c r="Q69" s="2">
        <v>0.98</v>
      </c>
      <c r="R69" s="7" t="s">
        <v>22</v>
      </c>
    </row>
    <row r="70" spans="1:18" x14ac:dyDescent="0.25">
      <c r="A70" s="1">
        <v>46175</v>
      </c>
      <c r="B70" s="7" t="s">
        <v>58</v>
      </c>
      <c r="C70" s="7" t="s">
        <v>178</v>
      </c>
      <c r="D70" s="7" t="s">
        <v>49</v>
      </c>
      <c r="E70" s="7" t="s">
        <v>39</v>
      </c>
      <c r="F70" s="7" t="s">
        <v>20</v>
      </c>
      <c r="G70" s="7">
        <v>21</v>
      </c>
      <c r="H70" s="7" t="s">
        <v>21</v>
      </c>
      <c r="I70" s="7">
        <v>18</v>
      </c>
      <c r="J70" s="7">
        <v>16</v>
      </c>
      <c r="K70" s="7">
        <v>2</v>
      </c>
      <c r="L70" s="7">
        <v>9</v>
      </c>
      <c r="M70" s="7">
        <v>9.1</v>
      </c>
      <c r="N70" s="7">
        <v>0.1</v>
      </c>
      <c r="O70" s="2">
        <v>0.88500000000000001</v>
      </c>
      <c r="P70" s="2">
        <v>0.96299999999999997</v>
      </c>
      <c r="Q70" s="2">
        <v>0.91600000000000004</v>
      </c>
      <c r="R70" s="7" t="s">
        <v>22</v>
      </c>
    </row>
    <row r="71" spans="1:18" x14ac:dyDescent="0.25">
      <c r="A71" s="1">
        <v>46179</v>
      </c>
      <c r="B71" s="7" t="s">
        <v>58</v>
      </c>
      <c r="C71" s="7" t="s">
        <v>179</v>
      </c>
      <c r="D71" s="7" t="s">
        <v>56</v>
      </c>
      <c r="E71" s="7" t="s">
        <v>19</v>
      </c>
      <c r="F71" s="7" t="s">
        <v>24</v>
      </c>
      <c r="G71" s="7">
        <v>21</v>
      </c>
      <c r="H71" s="7" t="s">
        <v>21</v>
      </c>
      <c r="I71" s="7">
        <v>20</v>
      </c>
      <c r="J71" s="7">
        <v>18</v>
      </c>
      <c r="K71" s="7">
        <v>2</v>
      </c>
      <c r="L71" s="7">
        <v>9</v>
      </c>
      <c r="M71" s="7">
        <v>9.1</v>
      </c>
      <c r="N71" s="7">
        <v>0.1</v>
      </c>
      <c r="O71" s="2">
        <v>0.87</v>
      </c>
      <c r="P71" s="2">
        <v>0.92700000000000005</v>
      </c>
      <c r="Q71" s="2">
        <v>0.89300000000000002</v>
      </c>
      <c r="R71" s="7" t="s">
        <v>40</v>
      </c>
    </row>
    <row r="72" spans="1:18" x14ac:dyDescent="0.25">
      <c r="A72" s="1">
        <v>46181</v>
      </c>
      <c r="B72" s="7" t="s">
        <v>58</v>
      </c>
      <c r="C72" s="7" t="s">
        <v>180</v>
      </c>
      <c r="D72" s="7" t="s">
        <v>51</v>
      </c>
      <c r="E72" s="7" t="s">
        <v>27</v>
      </c>
      <c r="F72" s="7" t="s">
        <v>32</v>
      </c>
      <c r="G72" s="7">
        <v>20</v>
      </c>
      <c r="H72" s="7" t="s">
        <v>21</v>
      </c>
      <c r="I72" s="7">
        <v>8</v>
      </c>
      <c r="J72" s="7">
        <v>6</v>
      </c>
      <c r="K72" s="7">
        <v>2</v>
      </c>
      <c r="L72" s="7">
        <v>8</v>
      </c>
      <c r="M72" s="7">
        <v>5.8</v>
      </c>
      <c r="N72" s="7">
        <v>0</v>
      </c>
      <c r="O72" s="2">
        <v>0.76800000000000002</v>
      </c>
      <c r="P72" s="2">
        <v>0.81699999999999995</v>
      </c>
      <c r="Q72" s="2">
        <v>0.78800000000000003</v>
      </c>
      <c r="R72" s="7" t="s">
        <v>40</v>
      </c>
    </row>
    <row r="73" spans="1:18" x14ac:dyDescent="0.25">
      <c r="A73" s="1">
        <v>46183</v>
      </c>
      <c r="B73" s="7" t="s">
        <v>58</v>
      </c>
      <c r="C73" s="7" t="s">
        <v>181</v>
      </c>
      <c r="D73" s="7" t="s">
        <v>18</v>
      </c>
      <c r="E73" s="7" t="s">
        <v>19</v>
      </c>
      <c r="F73" s="7" t="s">
        <v>20</v>
      </c>
      <c r="G73" s="7">
        <v>21</v>
      </c>
      <c r="H73" s="7" t="s">
        <v>21</v>
      </c>
      <c r="I73" s="7">
        <v>18</v>
      </c>
      <c r="J73" s="7">
        <v>19</v>
      </c>
      <c r="K73" s="7">
        <v>50</v>
      </c>
      <c r="L73" s="7">
        <v>7</v>
      </c>
      <c r="M73" s="7">
        <v>6.8</v>
      </c>
      <c r="N73" s="7">
        <v>0</v>
      </c>
      <c r="O73" s="2">
        <v>1</v>
      </c>
      <c r="P73" s="2">
        <v>0.96399999999999997</v>
      </c>
      <c r="Q73" s="2">
        <v>0.98599999999999999</v>
      </c>
      <c r="R73" s="7" t="s">
        <v>22</v>
      </c>
    </row>
    <row r="74" spans="1:18" x14ac:dyDescent="0.25">
      <c r="A74" s="1">
        <v>46185</v>
      </c>
      <c r="B74" s="7" t="s">
        <v>58</v>
      </c>
      <c r="C74" s="7" t="s">
        <v>182</v>
      </c>
      <c r="D74" s="7" t="s">
        <v>23</v>
      </c>
      <c r="E74" s="7" t="s">
        <v>19</v>
      </c>
      <c r="F74" s="7" t="s">
        <v>24</v>
      </c>
      <c r="G74" s="7">
        <v>21</v>
      </c>
      <c r="H74" s="7" t="s">
        <v>21</v>
      </c>
      <c r="I74" s="7">
        <v>10</v>
      </c>
      <c r="J74" s="7">
        <v>12</v>
      </c>
      <c r="K74" s="7">
        <v>0</v>
      </c>
      <c r="L74" s="7">
        <v>9</v>
      </c>
      <c r="M74" s="7">
        <v>9.4</v>
      </c>
      <c r="N74" s="7">
        <v>0.4</v>
      </c>
      <c r="O74" s="2">
        <v>1</v>
      </c>
      <c r="P74" s="2">
        <v>1</v>
      </c>
      <c r="Q74" s="2">
        <v>1</v>
      </c>
      <c r="R74" s="7" t="s">
        <v>22</v>
      </c>
    </row>
    <row r="75" spans="1:18" x14ac:dyDescent="0.25">
      <c r="A75" s="1">
        <v>46187</v>
      </c>
      <c r="B75" s="7" t="s">
        <v>58</v>
      </c>
      <c r="C75" s="7" t="s">
        <v>183</v>
      </c>
      <c r="D75" s="7" t="s">
        <v>26</v>
      </c>
      <c r="E75" s="7" t="s">
        <v>27</v>
      </c>
      <c r="F75" s="7" t="s">
        <v>28</v>
      </c>
      <c r="G75" s="7">
        <v>20</v>
      </c>
      <c r="H75" s="7" t="s">
        <v>21</v>
      </c>
      <c r="I75" s="7">
        <v>11</v>
      </c>
      <c r="J75" s="7">
        <v>9</v>
      </c>
      <c r="K75" s="7">
        <v>2</v>
      </c>
      <c r="L75" s="7">
        <v>9</v>
      </c>
      <c r="M75" s="7">
        <v>10.6</v>
      </c>
      <c r="N75" s="7">
        <v>1.6</v>
      </c>
      <c r="O75" s="2">
        <v>0.82099999999999995</v>
      </c>
      <c r="P75" s="2">
        <v>0.71199999999999997</v>
      </c>
      <c r="Q75" s="2">
        <v>0.77700000000000002</v>
      </c>
      <c r="R75" s="7" t="s">
        <v>40</v>
      </c>
    </row>
    <row r="76" spans="1:18" x14ac:dyDescent="0.25">
      <c r="A76" s="1">
        <v>46189</v>
      </c>
      <c r="B76" s="7" t="s">
        <v>58</v>
      </c>
      <c r="C76" s="7" t="s">
        <v>184</v>
      </c>
      <c r="D76" s="7" t="s">
        <v>29</v>
      </c>
      <c r="E76" s="7" t="s">
        <v>27</v>
      </c>
      <c r="F76" s="7" t="s">
        <v>20</v>
      </c>
      <c r="G76" s="7">
        <v>20</v>
      </c>
      <c r="H76" s="7" t="s">
        <v>21</v>
      </c>
      <c r="I76" s="7">
        <v>15</v>
      </c>
      <c r="J76" s="7">
        <v>13</v>
      </c>
      <c r="K76" s="7">
        <v>2</v>
      </c>
      <c r="L76" s="7">
        <v>8</v>
      </c>
      <c r="M76" s="7">
        <v>7.4</v>
      </c>
      <c r="N76" s="7">
        <v>0</v>
      </c>
      <c r="O76" s="2">
        <v>0.89300000000000002</v>
      </c>
      <c r="P76" s="2">
        <v>0.99</v>
      </c>
      <c r="Q76" s="2">
        <v>0.93200000000000005</v>
      </c>
      <c r="R76" s="7" t="s">
        <v>22</v>
      </c>
    </row>
    <row r="77" spans="1:18" x14ac:dyDescent="0.25">
      <c r="A77" s="1">
        <v>46193</v>
      </c>
      <c r="B77" s="7" t="s">
        <v>58</v>
      </c>
      <c r="C77" s="7" t="s">
        <v>185</v>
      </c>
      <c r="D77" s="7" t="s">
        <v>33</v>
      </c>
      <c r="E77" s="7" t="s">
        <v>31</v>
      </c>
      <c r="F77" s="7" t="s">
        <v>24</v>
      </c>
      <c r="G77" s="7">
        <v>21</v>
      </c>
      <c r="H77" s="7" t="s">
        <v>37</v>
      </c>
      <c r="I77" s="7">
        <v>15</v>
      </c>
      <c r="J77" s="7">
        <v>13</v>
      </c>
      <c r="K77" s="7">
        <v>2</v>
      </c>
      <c r="L77" s="7">
        <v>9</v>
      </c>
      <c r="M77" s="7">
        <v>8.4</v>
      </c>
      <c r="N77" s="7">
        <v>0</v>
      </c>
      <c r="O77" s="2">
        <v>0.92500000000000004</v>
      </c>
      <c r="P77" s="2">
        <v>0.90400000000000003</v>
      </c>
      <c r="Q77" s="2">
        <v>0.91700000000000004</v>
      </c>
      <c r="R77" s="7" t="s">
        <v>22</v>
      </c>
    </row>
    <row r="78" spans="1:18" x14ac:dyDescent="0.25">
      <c r="A78" s="1">
        <v>46195</v>
      </c>
      <c r="B78" s="7" t="s">
        <v>58</v>
      </c>
      <c r="C78" s="7" t="s">
        <v>186</v>
      </c>
      <c r="D78" s="7" t="s">
        <v>34</v>
      </c>
      <c r="E78" s="7" t="s">
        <v>35</v>
      </c>
      <c r="F78" s="7" t="s">
        <v>28</v>
      </c>
      <c r="G78" s="7">
        <v>20</v>
      </c>
      <c r="H78" s="7" t="s">
        <v>25</v>
      </c>
      <c r="I78" s="7">
        <v>12</v>
      </c>
      <c r="J78" s="7">
        <v>15</v>
      </c>
      <c r="K78" s="7">
        <v>0</v>
      </c>
      <c r="L78" s="7">
        <v>9</v>
      </c>
      <c r="M78" s="7">
        <v>10</v>
      </c>
      <c r="N78" s="7">
        <v>1</v>
      </c>
      <c r="O78" s="2">
        <v>1</v>
      </c>
      <c r="P78" s="2">
        <v>0.93300000000000005</v>
      </c>
      <c r="Q78" s="2">
        <v>0.97299999999999998</v>
      </c>
      <c r="R78" s="7" t="s">
        <v>22</v>
      </c>
    </row>
    <row r="79" spans="1:18" x14ac:dyDescent="0.25">
      <c r="A79" s="1">
        <v>46197</v>
      </c>
      <c r="B79" s="7" t="s">
        <v>58</v>
      </c>
      <c r="C79" s="7" t="s">
        <v>187</v>
      </c>
      <c r="D79" s="7" t="s">
        <v>36</v>
      </c>
      <c r="E79" s="7" t="s">
        <v>35</v>
      </c>
      <c r="F79" s="7" t="s">
        <v>20</v>
      </c>
      <c r="G79" s="7">
        <v>21</v>
      </c>
      <c r="H79" s="7" t="s">
        <v>21</v>
      </c>
      <c r="I79" s="7">
        <v>19</v>
      </c>
      <c r="J79" s="7">
        <v>18</v>
      </c>
      <c r="K79" s="7">
        <v>1</v>
      </c>
      <c r="L79" s="7">
        <v>7</v>
      </c>
      <c r="M79" s="7">
        <v>7.4</v>
      </c>
      <c r="N79" s="7">
        <v>0.4</v>
      </c>
      <c r="O79" s="2">
        <v>0.91100000000000003</v>
      </c>
      <c r="P79" s="2">
        <v>0.86099999999999999</v>
      </c>
      <c r="Q79" s="2">
        <v>0.89100000000000001</v>
      </c>
      <c r="R79" s="7" t="s">
        <v>40</v>
      </c>
    </row>
    <row r="80" spans="1:18" x14ac:dyDescent="0.25">
      <c r="A80" s="1">
        <v>46199</v>
      </c>
      <c r="B80" s="7" t="s">
        <v>58</v>
      </c>
      <c r="C80" s="7" t="s">
        <v>188</v>
      </c>
      <c r="D80" s="7" t="s">
        <v>38</v>
      </c>
      <c r="E80" s="7" t="s">
        <v>39</v>
      </c>
      <c r="F80" s="7" t="s">
        <v>32</v>
      </c>
      <c r="G80" s="7">
        <v>22</v>
      </c>
      <c r="H80" s="7" t="s">
        <v>21</v>
      </c>
      <c r="I80" s="7">
        <v>10</v>
      </c>
      <c r="J80" s="7">
        <v>8</v>
      </c>
      <c r="K80" s="7">
        <v>2</v>
      </c>
      <c r="L80" s="7">
        <v>7</v>
      </c>
      <c r="M80" s="7">
        <v>6.4</v>
      </c>
      <c r="N80" s="7">
        <v>0</v>
      </c>
      <c r="O80" s="2">
        <v>0.78100000000000003</v>
      </c>
      <c r="P80" s="2">
        <v>0.69499999999999995</v>
      </c>
      <c r="Q80" s="2">
        <v>0.747</v>
      </c>
      <c r="R80" s="7" t="s">
        <v>54</v>
      </c>
    </row>
    <row r="81" spans="1:18" x14ac:dyDescent="0.25">
      <c r="A81" s="1">
        <v>46201</v>
      </c>
      <c r="B81" s="7" t="s">
        <v>58</v>
      </c>
      <c r="C81" s="7" t="s">
        <v>189</v>
      </c>
      <c r="D81" s="7" t="s">
        <v>41</v>
      </c>
      <c r="E81" s="7" t="s">
        <v>39</v>
      </c>
      <c r="F81" s="7" t="s">
        <v>28</v>
      </c>
      <c r="G81" s="7">
        <v>20</v>
      </c>
      <c r="H81" s="7" t="s">
        <v>21</v>
      </c>
      <c r="I81" s="7">
        <v>14</v>
      </c>
      <c r="J81" s="7">
        <v>14</v>
      </c>
      <c r="K81" s="7">
        <v>0</v>
      </c>
      <c r="L81" s="7">
        <v>8</v>
      </c>
      <c r="M81" s="7">
        <v>8.6</v>
      </c>
      <c r="N81" s="7">
        <v>0.6</v>
      </c>
      <c r="O81" s="2">
        <v>1</v>
      </c>
      <c r="P81" s="2">
        <v>0.97099999999999997</v>
      </c>
      <c r="Q81" s="2">
        <v>0.98799999999999999</v>
      </c>
      <c r="R81" s="7" t="s">
        <v>22</v>
      </c>
    </row>
    <row r="82" spans="1:18" x14ac:dyDescent="0.25">
      <c r="A82" s="1">
        <v>46203</v>
      </c>
      <c r="B82" s="7" t="s">
        <v>58</v>
      </c>
      <c r="C82" s="7" t="s">
        <v>190</v>
      </c>
      <c r="D82" s="7" t="s">
        <v>53</v>
      </c>
      <c r="E82" s="7" t="s">
        <v>43</v>
      </c>
      <c r="F82" s="7" t="s">
        <v>24</v>
      </c>
      <c r="G82" s="7">
        <v>20</v>
      </c>
      <c r="H82" s="7" t="s">
        <v>21</v>
      </c>
      <c r="I82" s="7">
        <v>14</v>
      </c>
      <c r="J82" s="7">
        <v>17</v>
      </c>
      <c r="K82" s="7">
        <v>0</v>
      </c>
      <c r="L82" s="7">
        <v>9</v>
      </c>
      <c r="M82" s="7">
        <v>9.1</v>
      </c>
      <c r="N82" s="7">
        <v>0.1</v>
      </c>
      <c r="O82" s="2">
        <v>1</v>
      </c>
      <c r="P82" s="2">
        <v>0.88400000000000001</v>
      </c>
      <c r="Q82" s="2">
        <v>0.95399999999999996</v>
      </c>
      <c r="R82" s="7" t="s">
        <v>22</v>
      </c>
    </row>
    <row r="83" spans="1:18" x14ac:dyDescent="0.25">
      <c r="A83" s="1">
        <v>46205</v>
      </c>
      <c r="B83" s="7" t="s">
        <v>59</v>
      </c>
      <c r="C83" s="7" t="s">
        <v>191</v>
      </c>
      <c r="D83" s="7" t="s">
        <v>42</v>
      </c>
      <c r="E83" s="7" t="s">
        <v>43</v>
      </c>
      <c r="F83" s="7" t="s">
        <v>20</v>
      </c>
      <c r="G83" s="7">
        <v>22</v>
      </c>
      <c r="H83" s="7" t="s">
        <v>21</v>
      </c>
      <c r="I83" s="7">
        <v>15</v>
      </c>
      <c r="J83" s="7">
        <v>12</v>
      </c>
      <c r="K83" s="7">
        <v>3</v>
      </c>
      <c r="L83" s="7">
        <v>8</v>
      </c>
      <c r="M83" s="7">
        <v>9.1</v>
      </c>
      <c r="N83" s="7">
        <v>1.1000000000000001</v>
      </c>
      <c r="O83" s="2">
        <v>0.76800000000000002</v>
      </c>
      <c r="P83" s="2">
        <v>0.73399999999999999</v>
      </c>
      <c r="Q83" s="2">
        <v>0.754</v>
      </c>
      <c r="R83" s="7" t="s">
        <v>40</v>
      </c>
    </row>
    <row r="84" spans="1:18" x14ac:dyDescent="0.25">
      <c r="A84" s="1">
        <v>46209</v>
      </c>
      <c r="B84" s="7" t="s">
        <v>59</v>
      </c>
      <c r="C84" s="7" t="s">
        <v>192</v>
      </c>
      <c r="D84" s="7" t="s">
        <v>45</v>
      </c>
      <c r="E84" s="7" t="s">
        <v>27</v>
      </c>
      <c r="F84" s="7" t="s">
        <v>24</v>
      </c>
      <c r="G84" s="7">
        <v>21</v>
      </c>
      <c r="H84" s="7" t="s">
        <v>21</v>
      </c>
      <c r="I84" s="7">
        <v>12</v>
      </c>
      <c r="J84" s="7">
        <v>12</v>
      </c>
      <c r="K84" s="7">
        <v>0</v>
      </c>
      <c r="L84" s="7">
        <v>8</v>
      </c>
      <c r="M84" s="7">
        <v>7.6</v>
      </c>
      <c r="N84" s="7">
        <v>0</v>
      </c>
      <c r="O84" s="2">
        <v>0.92500000000000004</v>
      </c>
      <c r="P84" s="2">
        <v>0.879</v>
      </c>
      <c r="Q84" s="2">
        <v>0.90700000000000003</v>
      </c>
      <c r="R84" s="7" t="s">
        <v>22</v>
      </c>
    </row>
    <row r="85" spans="1:18" x14ac:dyDescent="0.25">
      <c r="A85" s="1">
        <v>46211</v>
      </c>
      <c r="B85" s="7" t="s">
        <v>59</v>
      </c>
      <c r="C85" s="7" t="s">
        <v>193</v>
      </c>
      <c r="D85" s="7" t="s">
        <v>46</v>
      </c>
      <c r="E85" s="7" t="s">
        <v>31</v>
      </c>
      <c r="F85" s="7" t="s">
        <v>28</v>
      </c>
      <c r="G85" s="7">
        <v>22</v>
      </c>
      <c r="H85" s="7" t="s">
        <v>21</v>
      </c>
      <c r="I85" s="7">
        <v>19</v>
      </c>
      <c r="J85" s="7">
        <v>17</v>
      </c>
      <c r="K85" s="7">
        <v>2</v>
      </c>
      <c r="L85" s="7">
        <v>8</v>
      </c>
      <c r="M85" s="7">
        <v>7.6</v>
      </c>
      <c r="N85" s="7">
        <v>0</v>
      </c>
      <c r="O85" s="2">
        <v>0.96199999999999997</v>
      </c>
      <c r="P85" s="2">
        <v>1</v>
      </c>
      <c r="Q85" s="2">
        <v>0.97699999999999998</v>
      </c>
      <c r="R85" s="7" t="s">
        <v>22</v>
      </c>
    </row>
    <row r="86" spans="1:18" x14ac:dyDescent="0.25">
      <c r="A86" s="1">
        <v>46213</v>
      </c>
      <c r="B86" s="7" t="s">
        <v>59</v>
      </c>
      <c r="C86" s="7" t="s">
        <v>194</v>
      </c>
      <c r="D86" s="7" t="s">
        <v>47</v>
      </c>
      <c r="E86" s="7" t="s">
        <v>35</v>
      </c>
      <c r="F86" s="7" t="s">
        <v>32</v>
      </c>
      <c r="G86" s="7">
        <v>22</v>
      </c>
      <c r="H86" s="7" t="s">
        <v>21</v>
      </c>
      <c r="I86" s="7">
        <v>14</v>
      </c>
      <c r="J86" s="7">
        <v>15</v>
      </c>
      <c r="K86" s="7">
        <v>30</v>
      </c>
      <c r="L86" s="7">
        <v>9</v>
      </c>
      <c r="M86" s="7">
        <v>7.4</v>
      </c>
      <c r="N86" s="7">
        <v>0</v>
      </c>
      <c r="O86" s="2">
        <v>1</v>
      </c>
      <c r="P86" s="2">
        <v>0.89800000000000002</v>
      </c>
      <c r="Q86" s="2">
        <v>0.95899999999999996</v>
      </c>
      <c r="R86" s="7" t="s">
        <v>22</v>
      </c>
    </row>
    <row r="87" spans="1:18" x14ac:dyDescent="0.25">
      <c r="A87" s="1">
        <v>46215</v>
      </c>
      <c r="B87" s="7" t="s">
        <v>59</v>
      </c>
      <c r="C87" s="7" t="s">
        <v>195</v>
      </c>
      <c r="D87" s="7" t="s">
        <v>49</v>
      </c>
      <c r="E87" s="7" t="s">
        <v>39</v>
      </c>
      <c r="F87" s="7" t="s">
        <v>20</v>
      </c>
      <c r="G87" s="7">
        <v>21</v>
      </c>
      <c r="H87" s="7" t="s">
        <v>21</v>
      </c>
      <c r="I87" s="7">
        <v>15</v>
      </c>
      <c r="J87" s="7">
        <v>13</v>
      </c>
      <c r="K87" s="7">
        <v>2</v>
      </c>
      <c r="L87" s="7">
        <v>7</v>
      </c>
      <c r="M87" s="7">
        <v>7.3</v>
      </c>
      <c r="N87" s="7">
        <v>0.3</v>
      </c>
      <c r="O87" s="2">
        <v>0.82799999999999996</v>
      </c>
      <c r="P87" s="2">
        <v>0.78</v>
      </c>
      <c r="Q87" s="2">
        <v>0.80900000000000005</v>
      </c>
      <c r="R87" s="7" t="s">
        <v>40</v>
      </c>
    </row>
    <row r="88" spans="1:18" x14ac:dyDescent="0.25">
      <c r="A88" s="1">
        <v>46217</v>
      </c>
      <c r="B88" s="7" t="s">
        <v>59</v>
      </c>
      <c r="C88" s="7" t="s">
        <v>196</v>
      </c>
      <c r="D88" s="7" t="s">
        <v>50</v>
      </c>
      <c r="E88" s="7" t="s">
        <v>43</v>
      </c>
      <c r="F88" s="7" t="s">
        <v>28</v>
      </c>
      <c r="G88" s="7">
        <v>21</v>
      </c>
      <c r="H88" s="7" t="s">
        <v>21</v>
      </c>
      <c r="I88" s="7">
        <v>13</v>
      </c>
      <c r="J88" s="7">
        <v>16</v>
      </c>
      <c r="K88" s="7">
        <v>0</v>
      </c>
      <c r="L88" s="7">
        <v>8</v>
      </c>
      <c r="M88" s="7">
        <v>8.3000000000000007</v>
      </c>
      <c r="N88" s="7">
        <v>0.3</v>
      </c>
      <c r="O88" s="2">
        <v>1</v>
      </c>
      <c r="P88" s="2">
        <v>1</v>
      </c>
      <c r="Q88" s="2">
        <v>1</v>
      </c>
      <c r="R88" s="7" t="s">
        <v>22</v>
      </c>
    </row>
    <row r="89" spans="1:18" x14ac:dyDescent="0.25">
      <c r="A89" s="1">
        <v>46219</v>
      </c>
      <c r="B89" s="7" t="s">
        <v>59</v>
      </c>
      <c r="C89" s="7" t="s">
        <v>197</v>
      </c>
      <c r="D89" s="7" t="s">
        <v>56</v>
      </c>
      <c r="E89" s="7" t="s">
        <v>19</v>
      </c>
      <c r="F89" s="7" t="s">
        <v>24</v>
      </c>
      <c r="G89" s="7">
        <v>21</v>
      </c>
      <c r="H89" s="7" t="s">
        <v>21</v>
      </c>
      <c r="I89" s="7">
        <v>9</v>
      </c>
      <c r="J89" s="7">
        <v>9</v>
      </c>
      <c r="K89" s="7">
        <v>0</v>
      </c>
      <c r="L89" s="7">
        <v>7</v>
      </c>
      <c r="M89" s="7">
        <v>7</v>
      </c>
      <c r="N89" s="7">
        <v>0</v>
      </c>
      <c r="O89" s="2">
        <v>1</v>
      </c>
      <c r="P89" s="2">
        <v>0.89100000000000001</v>
      </c>
      <c r="Q89" s="2">
        <v>0.95599999999999996</v>
      </c>
      <c r="R89" s="7" t="s">
        <v>22</v>
      </c>
    </row>
    <row r="90" spans="1:18" x14ac:dyDescent="0.25">
      <c r="A90" s="3">
        <v>46221</v>
      </c>
      <c r="B90" s="8" t="s">
        <v>59</v>
      </c>
      <c r="C90" s="7" t="s">
        <v>198</v>
      </c>
      <c r="D90" s="8" t="s">
        <v>51</v>
      </c>
      <c r="E90" s="8" t="s">
        <v>27</v>
      </c>
      <c r="F90" s="8" t="s">
        <v>32</v>
      </c>
      <c r="G90" s="8">
        <v>21</v>
      </c>
      <c r="H90" s="8" t="s">
        <v>21</v>
      </c>
      <c r="I90" s="8">
        <v>18</v>
      </c>
      <c r="J90" s="8">
        <v>15</v>
      </c>
      <c r="K90" s="8">
        <v>3</v>
      </c>
      <c r="L90" s="8">
        <v>9</v>
      </c>
      <c r="M90" s="8">
        <v>8.6999999999999993</v>
      </c>
      <c r="N90" s="8">
        <v>0</v>
      </c>
      <c r="O90" s="4">
        <v>0.76</v>
      </c>
      <c r="P90" s="4">
        <v>0.64700000000000002</v>
      </c>
      <c r="Q90" s="4">
        <v>0.71499999999999997</v>
      </c>
      <c r="R90" s="8" t="s">
        <v>54</v>
      </c>
    </row>
    <row r="91" spans="1:18" x14ac:dyDescent="0.25">
      <c r="A91" s="1">
        <v>46235</v>
      </c>
      <c r="B91" s="7" t="s">
        <v>80</v>
      </c>
      <c r="C91" s="7" t="s">
        <v>199</v>
      </c>
      <c r="D91" s="7" t="s">
        <v>65</v>
      </c>
      <c r="E91" s="7" t="s">
        <v>19</v>
      </c>
      <c r="F91" s="7" t="s">
        <v>20</v>
      </c>
      <c r="G91" s="7">
        <v>21</v>
      </c>
      <c r="H91" s="7" t="s">
        <v>21</v>
      </c>
      <c r="I91" s="7">
        <v>14</v>
      </c>
      <c r="J91" s="7">
        <v>12</v>
      </c>
      <c r="K91" s="7">
        <v>2</v>
      </c>
      <c r="L91" s="7">
        <v>8</v>
      </c>
      <c r="M91" s="7">
        <v>8.1999999999999993</v>
      </c>
      <c r="N91" s="7">
        <v>0.2</v>
      </c>
      <c r="O91" s="2">
        <v>0.85099999999999998</v>
      </c>
      <c r="P91" s="2">
        <v>0.92300000000000004</v>
      </c>
      <c r="Q91" s="2">
        <v>0.88</v>
      </c>
      <c r="R91" s="7" t="s">
        <v>40</v>
      </c>
    </row>
    <row r="92" spans="1:18" x14ac:dyDescent="0.25">
      <c r="A92" s="1">
        <v>46238</v>
      </c>
      <c r="B92" s="7" t="s">
        <v>80</v>
      </c>
      <c r="C92" s="7" t="s">
        <v>200</v>
      </c>
      <c r="D92" s="7" t="s">
        <v>60</v>
      </c>
      <c r="E92" s="7" t="s">
        <v>31</v>
      </c>
      <c r="F92" s="7" t="s">
        <v>28</v>
      </c>
      <c r="G92" s="7">
        <v>20</v>
      </c>
      <c r="H92" s="7" t="s">
        <v>21</v>
      </c>
      <c r="I92" s="7">
        <v>20</v>
      </c>
      <c r="J92" s="7">
        <v>23</v>
      </c>
      <c r="K92" s="7">
        <v>0</v>
      </c>
      <c r="L92" s="7">
        <v>9</v>
      </c>
      <c r="M92" s="7">
        <v>6.8</v>
      </c>
      <c r="N92" s="7">
        <v>0</v>
      </c>
      <c r="O92" s="2">
        <v>1</v>
      </c>
      <c r="P92" s="2">
        <v>1</v>
      </c>
      <c r="Q92" s="2">
        <v>1</v>
      </c>
      <c r="R92" s="7" t="s">
        <v>22</v>
      </c>
    </row>
    <row r="93" spans="1:18" x14ac:dyDescent="0.25">
      <c r="A93" s="1">
        <v>46242</v>
      </c>
      <c r="B93" s="7" t="s">
        <v>80</v>
      </c>
      <c r="C93" s="7" t="s">
        <v>201</v>
      </c>
      <c r="D93" s="7" t="s">
        <v>66</v>
      </c>
      <c r="E93" s="7" t="s">
        <v>35</v>
      </c>
      <c r="F93" s="7" t="s">
        <v>32</v>
      </c>
      <c r="G93" s="7">
        <v>20</v>
      </c>
      <c r="H93" s="7" t="s">
        <v>21</v>
      </c>
      <c r="I93" s="7">
        <v>8</v>
      </c>
      <c r="J93" s="7">
        <v>6</v>
      </c>
      <c r="K93" s="7">
        <v>2</v>
      </c>
      <c r="L93" s="7">
        <v>8</v>
      </c>
      <c r="M93" s="7">
        <v>8.1999999999999993</v>
      </c>
      <c r="N93" s="7">
        <v>0.2</v>
      </c>
      <c r="O93" s="2">
        <v>0.67</v>
      </c>
      <c r="P93" s="2">
        <v>0.63600000000000001</v>
      </c>
      <c r="Q93" s="2">
        <v>0.65600000000000003</v>
      </c>
      <c r="R93" s="7" t="s">
        <v>54</v>
      </c>
    </row>
    <row r="94" spans="1:18" x14ac:dyDescent="0.25">
      <c r="A94" s="1">
        <v>46238</v>
      </c>
      <c r="B94" s="7" t="s">
        <v>80</v>
      </c>
      <c r="C94" s="7" t="s">
        <v>202</v>
      </c>
      <c r="D94" s="7" t="s">
        <v>67</v>
      </c>
      <c r="E94" s="7" t="s">
        <v>39</v>
      </c>
      <c r="F94" s="7" t="s">
        <v>20</v>
      </c>
      <c r="G94" s="7">
        <v>21</v>
      </c>
      <c r="H94" s="7" t="s">
        <v>21</v>
      </c>
      <c r="I94" s="7">
        <v>14</v>
      </c>
      <c r="J94" s="7">
        <v>16</v>
      </c>
      <c r="K94" s="7">
        <v>0</v>
      </c>
      <c r="L94" s="7">
        <v>9</v>
      </c>
      <c r="M94" s="7">
        <v>9.8000000000000007</v>
      </c>
      <c r="N94" s="7">
        <v>0.8</v>
      </c>
      <c r="O94" s="2">
        <v>1</v>
      </c>
      <c r="P94" s="2">
        <v>1</v>
      </c>
      <c r="Q94" s="2">
        <v>1</v>
      </c>
      <c r="R94" s="7" t="s">
        <v>22</v>
      </c>
    </row>
    <row r="95" spans="1:18" x14ac:dyDescent="0.25">
      <c r="A95" s="1">
        <v>46239</v>
      </c>
      <c r="B95" s="7" t="s">
        <v>80</v>
      </c>
      <c r="C95" s="7" t="s">
        <v>203</v>
      </c>
      <c r="D95" s="7" t="s">
        <v>68</v>
      </c>
      <c r="E95" s="7" t="s">
        <v>43</v>
      </c>
      <c r="F95" s="7" t="s">
        <v>24</v>
      </c>
      <c r="G95" s="7">
        <v>22</v>
      </c>
      <c r="H95" s="7" t="s">
        <v>21</v>
      </c>
      <c r="I95" s="7">
        <v>10</v>
      </c>
      <c r="J95" s="7">
        <v>8</v>
      </c>
      <c r="K95" s="7">
        <v>2</v>
      </c>
      <c r="L95" s="7">
        <v>8</v>
      </c>
      <c r="M95" s="7">
        <v>8.1999999999999993</v>
      </c>
      <c r="N95" s="7">
        <v>0.2</v>
      </c>
      <c r="O95" s="2">
        <v>0.755</v>
      </c>
      <c r="P95" s="2">
        <v>0.64800000000000002</v>
      </c>
      <c r="Q95" s="2">
        <v>0.71199999999999997</v>
      </c>
      <c r="R95" s="7" t="s">
        <v>54</v>
      </c>
    </row>
    <row r="96" spans="1:18" x14ac:dyDescent="0.25">
      <c r="A96" s="1">
        <v>46240</v>
      </c>
      <c r="B96" s="7" t="s">
        <v>80</v>
      </c>
      <c r="C96" s="7" t="s">
        <v>204</v>
      </c>
      <c r="D96" s="7" t="s">
        <v>61</v>
      </c>
      <c r="E96" s="7" t="s">
        <v>19</v>
      </c>
      <c r="F96" s="7" t="s">
        <v>28</v>
      </c>
      <c r="G96" s="7">
        <v>22</v>
      </c>
      <c r="H96" s="7" t="s">
        <v>37</v>
      </c>
      <c r="I96" s="7">
        <v>8</v>
      </c>
      <c r="J96" s="7">
        <v>10</v>
      </c>
      <c r="K96" s="7">
        <v>0</v>
      </c>
      <c r="L96" s="7">
        <v>8</v>
      </c>
      <c r="M96" s="7">
        <v>7.9</v>
      </c>
      <c r="N96" s="7">
        <v>0</v>
      </c>
      <c r="O96" s="2">
        <v>1</v>
      </c>
      <c r="P96" s="2">
        <v>1</v>
      </c>
      <c r="Q96" s="2">
        <v>1</v>
      </c>
      <c r="R96" s="7" t="s">
        <v>22</v>
      </c>
    </row>
    <row r="97" spans="1:18" x14ac:dyDescent="0.25">
      <c r="A97" s="1">
        <v>46241</v>
      </c>
      <c r="B97" s="7" t="s">
        <v>80</v>
      </c>
      <c r="C97" s="7" t="s">
        <v>205</v>
      </c>
      <c r="D97" s="7" t="s">
        <v>69</v>
      </c>
      <c r="E97" s="7" t="s">
        <v>27</v>
      </c>
      <c r="F97" s="7" t="s">
        <v>20</v>
      </c>
      <c r="G97" s="7">
        <v>22</v>
      </c>
      <c r="H97" s="7" t="s">
        <v>37</v>
      </c>
      <c r="I97" s="7">
        <v>10</v>
      </c>
      <c r="J97" s="7">
        <v>7</v>
      </c>
      <c r="K97" s="7">
        <v>3</v>
      </c>
      <c r="L97" s="7">
        <v>9</v>
      </c>
      <c r="M97" s="7">
        <v>8.6999999999999993</v>
      </c>
      <c r="N97" s="7">
        <v>0</v>
      </c>
      <c r="O97" s="2">
        <v>0.63300000000000001</v>
      </c>
      <c r="P97" s="2">
        <v>0.55400000000000005</v>
      </c>
      <c r="Q97" s="2">
        <v>0.60099999999999998</v>
      </c>
      <c r="R97" s="7" t="s">
        <v>54</v>
      </c>
    </row>
    <row r="98" spans="1:18" x14ac:dyDescent="0.25">
      <c r="A98" s="1">
        <v>46242</v>
      </c>
      <c r="B98" s="7" t="s">
        <v>80</v>
      </c>
      <c r="C98" s="7" t="s">
        <v>206</v>
      </c>
      <c r="D98" s="7" t="s">
        <v>62</v>
      </c>
      <c r="E98" s="7" t="s">
        <v>19</v>
      </c>
      <c r="F98" s="7" t="s">
        <v>32</v>
      </c>
      <c r="G98" s="7">
        <v>22</v>
      </c>
      <c r="H98" s="7" t="s">
        <v>21</v>
      </c>
      <c r="I98" s="7">
        <v>18</v>
      </c>
      <c r="J98" s="7">
        <v>21</v>
      </c>
      <c r="K98" s="7">
        <v>0</v>
      </c>
      <c r="L98" s="7">
        <v>7</v>
      </c>
      <c r="M98" s="7">
        <v>5.4</v>
      </c>
      <c r="N98" s="7">
        <v>0</v>
      </c>
      <c r="O98" s="2">
        <v>1</v>
      </c>
      <c r="P98" s="2">
        <v>1</v>
      </c>
      <c r="Q98" s="2">
        <v>1</v>
      </c>
      <c r="R98" s="7" t="s">
        <v>22</v>
      </c>
    </row>
    <row r="99" spans="1:18" x14ac:dyDescent="0.25">
      <c r="A99" s="1">
        <v>46243</v>
      </c>
      <c r="B99" s="7" t="s">
        <v>80</v>
      </c>
      <c r="C99" s="7" t="s">
        <v>207</v>
      </c>
      <c r="D99" s="7" t="s">
        <v>70</v>
      </c>
      <c r="E99" s="7" t="s">
        <v>19</v>
      </c>
      <c r="F99" s="7" t="s">
        <v>24</v>
      </c>
      <c r="G99" s="7">
        <v>22</v>
      </c>
      <c r="H99" s="7" t="s">
        <v>21</v>
      </c>
      <c r="I99" s="7">
        <v>17</v>
      </c>
      <c r="J99" s="7">
        <v>18</v>
      </c>
      <c r="K99" s="7">
        <v>0</v>
      </c>
      <c r="L99" s="7">
        <v>7</v>
      </c>
      <c r="M99" s="7">
        <v>6.2</v>
      </c>
      <c r="N99" s="7">
        <v>0</v>
      </c>
      <c r="O99" s="2">
        <v>1</v>
      </c>
      <c r="P99" s="2">
        <v>0.97199999999999998</v>
      </c>
      <c r="Q99" s="2">
        <v>0.98899999999999999</v>
      </c>
      <c r="R99" s="7" t="s">
        <v>22</v>
      </c>
    </row>
    <row r="100" spans="1:18" x14ac:dyDescent="0.25">
      <c r="A100" s="1">
        <v>46244</v>
      </c>
      <c r="B100" s="7" t="s">
        <v>80</v>
      </c>
      <c r="C100" s="7" t="s">
        <v>208</v>
      </c>
      <c r="D100" s="7" t="s">
        <v>71</v>
      </c>
      <c r="E100" s="7" t="s">
        <v>27</v>
      </c>
      <c r="F100" s="7" t="s">
        <v>20</v>
      </c>
      <c r="G100" s="7">
        <v>20</v>
      </c>
      <c r="H100" s="7" t="s">
        <v>21</v>
      </c>
      <c r="I100" s="7">
        <v>14</v>
      </c>
      <c r="J100" s="7">
        <v>12</v>
      </c>
      <c r="K100" s="7">
        <v>2</v>
      </c>
      <c r="L100" s="7">
        <v>9</v>
      </c>
      <c r="M100" s="7">
        <v>10.199999999999999</v>
      </c>
      <c r="N100" s="7">
        <v>1.2</v>
      </c>
      <c r="O100" s="2">
        <v>0.88</v>
      </c>
      <c r="P100" s="2">
        <v>0.86099999999999999</v>
      </c>
      <c r="Q100" s="2">
        <v>0.872</v>
      </c>
      <c r="R100" s="7" t="s">
        <v>40</v>
      </c>
    </row>
    <row r="101" spans="1:18" x14ac:dyDescent="0.25">
      <c r="A101" s="1">
        <v>46245</v>
      </c>
      <c r="B101" s="7" t="s">
        <v>80</v>
      </c>
      <c r="C101" s="7" t="s">
        <v>209</v>
      </c>
      <c r="D101" s="7" t="s">
        <v>72</v>
      </c>
      <c r="E101" s="7" t="s">
        <v>31</v>
      </c>
      <c r="F101" s="7" t="s">
        <v>32</v>
      </c>
      <c r="G101" s="7">
        <v>20</v>
      </c>
      <c r="H101" s="7" t="s">
        <v>21</v>
      </c>
      <c r="I101" s="7">
        <v>15</v>
      </c>
      <c r="J101" s="7">
        <v>16</v>
      </c>
      <c r="K101" s="7">
        <v>0</v>
      </c>
      <c r="L101" s="7">
        <v>9</v>
      </c>
      <c r="M101" s="7">
        <v>9.4</v>
      </c>
      <c r="N101" s="7">
        <v>0.4</v>
      </c>
      <c r="O101" s="2">
        <v>1</v>
      </c>
      <c r="P101" s="2">
        <v>0.89600000000000002</v>
      </c>
      <c r="Q101" s="2">
        <v>0.95799999999999996</v>
      </c>
      <c r="R101" s="7" t="s">
        <v>22</v>
      </c>
    </row>
    <row r="102" spans="1:18" x14ac:dyDescent="0.25">
      <c r="A102" s="1">
        <v>46246</v>
      </c>
      <c r="B102" s="7" t="s">
        <v>80</v>
      </c>
      <c r="C102" s="7" t="s">
        <v>118</v>
      </c>
      <c r="D102" s="7" t="s">
        <v>73</v>
      </c>
      <c r="E102" s="7" t="s">
        <v>31</v>
      </c>
      <c r="F102" s="7" t="s">
        <v>28</v>
      </c>
      <c r="G102" s="7">
        <v>20</v>
      </c>
      <c r="H102" s="7" t="s">
        <v>37</v>
      </c>
      <c r="I102" s="7">
        <v>12</v>
      </c>
      <c r="J102" s="7">
        <v>10</v>
      </c>
      <c r="K102" s="7">
        <v>2</v>
      </c>
      <c r="L102" s="7">
        <v>8</v>
      </c>
      <c r="M102" s="7">
        <v>6.1</v>
      </c>
      <c r="N102" s="7">
        <v>0</v>
      </c>
      <c r="O102" s="2">
        <v>0.89400000000000002</v>
      </c>
      <c r="P102" s="2">
        <v>0.96699999999999997</v>
      </c>
      <c r="Q102" s="2">
        <v>0.92300000000000004</v>
      </c>
      <c r="R102" s="7" t="s">
        <v>22</v>
      </c>
    </row>
    <row r="103" spans="1:18" x14ac:dyDescent="0.25">
      <c r="A103" s="1">
        <v>46247</v>
      </c>
      <c r="B103" s="7" t="s">
        <v>80</v>
      </c>
      <c r="C103" s="7" t="s">
        <v>210</v>
      </c>
      <c r="D103" s="7" t="s">
        <v>74</v>
      </c>
      <c r="E103" s="7" t="s">
        <v>35</v>
      </c>
      <c r="F103" s="7" t="s">
        <v>24</v>
      </c>
      <c r="G103" s="7">
        <v>21</v>
      </c>
      <c r="H103" s="7" t="s">
        <v>21</v>
      </c>
      <c r="I103" s="7">
        <v>10</v>
      </c>
      <c r="J103" s="7">
        <v>10</v>
      </c>
      <c r="K103" s="7">
        <v>0</v>
      </c>
      <c r="L103" s="7">
        <v>9</v>
      </c>
      <c r="M103" s="7">
        <v>9.4</v>
      </c>
      <c r="N103" s="7">
        <v>0.4</v>
      </c>
      <c r="O103" s="2">
        <v>1</v>
      </c>
      <c r="P103" s="2">
        <v>1</v>
      </c>
      <c r="Q103" s="2">
        <v>1</v>
      </c>
      <c r="R103" s="7" t="s">
        <v>22</v>
      </c>
    </row>
    <row r="104" spans="1:18" x14ac:dyDescent="0.25">
      <c r="A104" s="1">
        <v>46248</v>
      </c>
      <c r="B104" s="7" t="s">
        <v>80</v>
      </c>
      <c r="C104" s="7" t="s">
        <v>211</v>
      </c>
      <c r="D104" s="7" t="s">
        <v>75</v>
      </c>
      <c r="E104" s="7" t="s">
        <v>35</v>
      </c>
      <c r="F104" s="7" t="s">
        <v>20</v>
      </c>
      <c r="G104" s="7">
        <v>22</v>
      </c>
      <c r="H104" s="7" t="s">
        <v>37</v>
      </c>
      <c r="I104" s="7">
        <v>8</v>
      </c>
      <c r="J104" s="7">
        <v>10</v>
      </c>
      <c r="K104" s="7">
        <v>0</v>
      </c>
      <c r="L104" s="7">
        <v>9</v>
      </c>
      <c r="M104" s="7">
        <v>8.6</v>
      </c>
      <c r="N104" s="7">
        <v>0</v>
      </c>
      <c r="O104" s="2">
        <v>1</v>
      </c>
      <c r="P104" s="2">
        <v>1</v>
      </c>
      <c r="Q104" s="2">
        <v>1</v>
      </c>
      <c r="R104" s="7" t="s">
        <v>22</v>
      </c>
    </row>
    <row r="105" spans="1:18" x14ac:dyDescent="0.25">
      <c r="A105" s="1">
        <v>46249</v>
      </c>
      <c r="B105" s="7" t="s">
        <v>80</v>
      </c>
      <c r="C105" s="7" t="s">
        <v>212</v>
      </c>
      <c r="D105" s="7" t="s">
        <v>76</v>
      </c>
      <c r="E105" s="7" t="s">
        <v>39</v>
      </c>
      <c r="F105" s="7" t="s">
        <v>32</v>
      </c>
      <c r="G105" s="7">
        <v>20</v>
      </c>
      <c r="H105" s="7" t="s">
        <v>21</v>
      </c>
      <c r="I105" s="7">
        <v>9</v>
      </c>
      <c r="J105" s="7">
        <v>6</v>
      </c>
      <c r="K105" s="7">
        <v>70</v>
      </c>
      <c r="L105" s="7">
        <v>9</v>
      </c>
      <c r="M105" s="7">
        <v>8.3000000000000007</v>
      </c>
      <c r="N105" s="7">
        <v>0</v>
      </c>
      <c r="O105" s="2">
        <v>0.67500000000000004</v>
      </c>
      <c r="P105" s="2">
        <v>0.61499999999999999</v>
      </c>
      <c r="Q105" s="2">
        <v>0.65100000000000002</v>
      </c>
      <c r="R105" s="7" t="s">
        <v>54</v>
      </c>
    </row>
    <row r="106" spans="1:18" x14ac:dyDescent="0.25">
      <c r="A106" s="1">
        <v>46250</v>
      </c>
      <c r="B106" s="7" t="s">
        <v>80</v>
      </c>
      <c r="C106" s="7" t="s">
        <v>213</v>
      </c>
      <c r="D106" s="7" t="s">
        <v>77</v>
      </c>
      <c r="E106" s="7" t="s">
        <v>43</v>
      </c>
      <c r="F106" s="7" t="s">
        <v>28</v>
      </c>
      <c r="G106" s="7">
        <v>22</v>
      </c>
      <c r="H106" s="7" t="s">
        <v>21</v>
      </c>
      <c r="I106" s="7">
        <v>12</v>
      </c>
      <c r="J106" s="7">
        <v>15</v>
      </c>
      <c r="K106" s="7">
        <v>0</v>
      </c>
      <c r="L106" s="7">
        <v>7</v>
      </c>
      <c r="M106" s="7">
        <v>8.1</v>
      </c>
      <c r="N106" s="7">
        <v>1.1000000000000001</v>
      </c>
      <c r="O106" s="2">
        <v>1</v>
      </c>
      <c r="P106" s="2">
        <v>0.97299999999999998</v>
      </c>
      <c r="Q106" s="2">
        <v>0.98899999999999999</v>
      </c>
      <c r="R106" s="7" t="s">
        <v>22</v>
      </c>
    </row>
    <row r="107" spans="1:18" x14ac:dyDescent="0.25">
      <c r="A107" s="1">
        <v>46251</v>
      </c>
      <c r="B107" s="7" t="s">
        <v>80</v>
      </c>
      <c r="C107" s="7" t="s">
        <v>132</v>
      </c>
      <c r="D107" s="7" t="s">
        <v>63</v>
      </c>
      <c r="E107" s="7" t="s">
        <v>43</v>
      </c>
      <c r="F107" s="7" t="s">
        <v>32</v>
      </c>
      <c r="G107" s="7">
        <v>21</v>
      </c>
      <c r="H107" s="7" t="s">
        <v>21</v>
      </c>
      <c r="I107" s="7">
        <v>8</v>
      </c>
      <c r="J107" s="7">
        <v>7</v>
      </c>
      <c r="K107" s="7">
        <v>1</v>
      </c>
      <c r="L107" s="7">
        <v>7</v>
      </c>
      <c r="M107" s="7">
        <v>8</v>
      </c>
      <c r="N107" s="7">
        <v>1</v>
      </c>
      <c r="O107" s="2">
        <v>0.89700000000000002</v>
      </c>
      <c r="P107" s="2">
        <v>0.83499999999999996</v>
      </c>
      <c r="Q107" s="2">
        <v>0.872</v>
      </c>
      <c r="R107" s="7" t="s">
        <v>40</v>
      </c>
    </row>
    <row r="108" spans="1:18" x14ac:dyDescent="0.25">
      <c r="A108" s="1">
        <v>46252</v>
      </c>
      <c r="B108" s="7" t="s">
        <v>80</v>
      </c>
      <c r="C108" s="7" t="s">
        <v>214</v>
      </c>
      <c r="D108" s="7" t="s">
        <v>78</v>
      </c>
      <c r="E108" s="7" t="s">
        <v>19</v>
      </c>
      <c r="F108" s="7" t="s">
        <v>20</v>
      </c>
      <c r="G108" s="7">
        <v>22</v>
      </c>
      <c r="H108" s="7" t="s">
        <v>21</v>
      </c>
      <c r="I108" s="7">
        <v>16</v>
      </c>
      <c r="J108" s="7">
        <v>18</v>
      </c>
      <c r="K108" s="7">
        <v>0</v>
      </c>
      <c r="L108" s="7">
        <v>8</v>
      </c>
      <c r="M108" s="7">
        <v>7.1</v>
      </c>
      <c r="N108" s="7">
        <v>0</v>
      </c>
      <c r="O108" s="2">
        <v>1</v>
      </c>
      <c r="P108" s="2">
        <v>0.90500000000000003</v>
      </c>
      <c r="Q108" s="2">
        <v>0.96199999999999997</v>
      </c>
      <c r="R108" s="7" t="s">
        <v>22</v>
      </c>
    </row>
    <row r="109" spans="1:18" x14ac:dyDescent="0.25">
      <c r="A109" s="1">
        <v>46253</v>
      </c>
      <c r="B109" s="7" t="s">
        <v>80</v>
      </c>
      <c r="C109" s="7" t="s">
        <v>215</v>
      </c>
      <c r="D109" s="7" t="s">
        <v>65</v>
      </c>
      <c r="E109" s="7" t="s">
        <v>27</v>
      </c>
      <c r="F109" s="7" t="s">
        <v>28</v>
      </c>
      <c r="G109" s="7">
        <v>22</v>
      </c>
      <c r="H109" s="7" t="s">
        <v>21</v>
      </c>
      <c r="I109" s="7">
        <v>16</v>
      </c>
      <c r="J109" s="7">
        <v>13</v>
      </c>
      <c r="K109" s="7">
        <v>3</v>
      </c>
      <c r="L109" s="7">
        <v>8</v>
      </c>
      <c r="M109" s="7">
        <v>7.7</v>
      </c>
      <c r="N109" s="7">
        <v>0</v>
      </c>
      <c r="O109" s="2">
        <v>0.82599999999999996</v>
      </c>
      <c r="P109" s="2">
        <v>0.73899999999999999</v>
      </c>
      <c r="Q109" s="2">
        <v>0.79100000000000004</v>
      </c>
      <c r="R109" s="7" t="s">
        <v>40</v>
      </c>
    </row>
    <row r="110" spans="1:18" x14ac:dyDescent="0.25">
      <c r="A110" s="1">
        <v>46254</v>
      </c>
      <c r="B110" s="7" t="s">
        <v>80</v>
      </c>
      <c r="C110" s="7" t="s">
        <v>216</v>
      </c>
      <c r="D110" s="7" t="s">
        <v>60</v>
      </c>
      <c r="E110" s="7" t="s">
        <v>31</v>
      </c>
      <c r="F110" s="7" t="s">
        <v>24</v>
      </c>
      <c r="G110" s="7">
        <v>20</v>
      </c>
      <c r="H110" s="7" t="s">
        <v>21</v>
      </c>
      <c r="I110" s="7">
        <v>12</v>
      </c>
      <c r="J110" s="7">
        <v>11</v>
      </c>
      <c r="K110" s="7">
        <v>1</v>
      </c>
      <c r="L110" s="7">
        <v>7</v>
      </c>
      <c r="M110" s="7">
        <v>7.4</v>
      </c>
      <c r="N110" s="7">
        <v>0.4</v>
      </c>
      <c r="O110" s="2">
        <v>0.98</v>
      </c>
      <c r="P110" s="2">
        <v>0.90600000000000003</v>
      </c>
      <c r="Q110" s="2">
        <v>0.95</v>
      </c>
      <c r="R110" s="7" t="s">
        <v>22</v>
      </c>
    </row>
    <row r="111" spans="1:18" x14ac:dyDescent="0.25">
      <c r="A111" s="1">
        <v>46280</v>
      </c>
      <c r="B111" s="7" t="s">
        <v>84</v>
      </c>
      <c r="C111" s="7" t="s">
        <v>128</v>
      </c>
      <c r="D111" s="7" t="s">
        <v>66</v>
      </c>
      <c r="E111" s="7" t="s">
        <v>35</v>
      </c>
      <c r="F111" s="7" t="s">
        <v>32</v>
      </c>
      <c r="G111" s="7">
        <v>20</v>
      </c>
      <c r="H111" s="7" t="s">
        <v>25</v>
      </c>
      <c r="I111" s="7">
        <v>9</v>
      </c>
      <c r="J111" s="7">
        <v>8</v>
      </c>
      <c r="K111" s="7">
        <v>1</v>
      </c>
      <c r="L111" s="7">
        <v>9</v>
      </c>
      <c r="M111" s="7">
        <v>10.1</v>
      </c>
      <c r="N111" s="7">
        <v>1.1000000000000001</v>
      </c>
      <c r="O111" s="2">
        <v>0.95</v>
      </c>
      <c r="P111" s="2">
        <v>0.91900000000000004</v>
      </c>
      <c r="Q111" s="2">
        <v>0.93799999999999994</v>
      </c>
      <c r="R111" s="7" t="s">
        <v>22</v>
      </c>
    </row>
    <row r="112" spans="1:18" x14ac:dyDescent="0.25">
      <c r="A112" s="1">
        <v>46281</v>
      </c>
      <c r="B112" s="7" t="s">
        <v>84</v>
      </c>
      <c r="C112" s="7" t="s">
        <v>127</v>
      </c>
      <c r="D112" s="7" t="s">
        <v>67</v>
      </c>
      <c r="E112" s="7" t="s">
        <v>39</v>
      </c>
      <c r="F112" s="7" t="s">
        <v>20</v>
      </c>
      <c r="G112" s="7">
        <v>22</v>
      </c>
      <c r="H112" s="7" t="s">
        <v>25</v>
      </c>
      <c r="I112" s="7">
        <v>10</v>
      </c>
      <c r="J112" s="7">
        <v>8</v>
      </c>
      <c r="K112" s="7">
        <v>2</v>
      </c>
      <c r="L112" s="7">
        <v>7</v>
      </c>
      <c r="M112" s="7">
        <v>6.5</v>
      </c>
      <c r="N112" s="7">
        <v>0</v>
      </c>
      <c r="O112" s="2">
        <v>0.876</v>
      </c>
      <c r="P112" s="2">
        <v>0.93400000000000005</v>
      </c>
      <c r="Q112" s="2">
        <v>0.89900000000000002</v>
      </c>
      <c r="R112" s="7" t="s">
        <v>40</v>
      </c>
    </row>
    <row r="113" spans="1:18" x14ac:dyDescent="0.25">
      <c r="A113" s="1">
        <v>46282</v>
      </c>
      <c r="B113" s="7" t="s">
        <v>84</v>
      </c>
      <c r="C113" s="7" t="s">
        <v>126</v>
      </c>
      <c r="D113" s="7" t="s">
        <v>68</v>
      </c>
      <c r="E113" s="7" t="s">
        <v>19</v>
      </c>
      <c r="F113" s="7" t="s">
        <v>24</v>
      </c>
      <c r="G113" s="7">
        <v>21</v>
      </c>
      <c r="H113" s="7" t="s">
        <v>21</v>
      </c>
      <c r="I113" s="7">
        <v>10</v>
      </c>
      <c r="J113" s="7">
        <v>12</v>
      </c>
      <c r="K113" s="7">
        <v>0</v>
      </c>
      <c r="L113" s="7">
        <v>8</v>
      </c>
      <c r="M113" s="7">
        <v>7.8</v>
      </c>
      <c r="N113" s="7">
        <v>0</v>
      </c>
      <c r="O113" s="2">
        <v>1</v>
      </c>
      <c r="P113" s="2">
        <v>0.97099999999999997</v>
      </c>
      <c r="Q113" s="2">
        <v>0.98799999999999999</v>
      </c>
      <c r="R113" s="7" t="s">
        <v>22</v>
      </c>
    </row>
    <row r="114" spans="1:18" x14ac:dyDescent="0.25">
      <c r="A114" s="1">
        <v>46283</v>
      </c>
      <c r="B114" s="7" t="s">
        <v>84</v>
      </c>
      <c r="C114" s="7" t="s">
        <v>217</v>
      </c>
      <c r="D114" s="7" t="s">
        <v>61</v>
      </c>
      <c r="E114" s="7" t="s">
        <v>27</v>
      </c>
      <c r="F114" s="7" t="s">
        <v>20</v>
      </c>
      <c r="G114" s="7">
        <v>21</v>
      </c>
      <c r="H114" s="7" t="s">
        <v>21</v>
      </c>
      <c r="I114" s="7">
        <v>15</v>
      </c>
      <c r="J114" s="7">
        <v>13</v>
      </c>
      <c r="K114" s="7">
        <v>2</v>
      </c>
      <c r="L114" s="7">
        <v>7</v>
      </c>
      <c r="M114" s="7">
        <v>5.7</v>
      </c>
      <c r="N114" s="7">
        <v>0</v>
      </c>
      <c r="O114" s="2">
        <v>0.91700000000000004</v>
      </c>
      <c r="P114" s="2">
        <v>0.89800000000000002</v>
      </c>
      <c r="Q114" s="2">
        <v>0.90900000000000003</v>
      </c>
      <c r="R114" s="7" t="s">
        <v>22</v>
      </c>
    </row>
    <row r="115" spans="1:18" x14ac:dyDescent="0.25">
      <c r="A115" s="1">
        <v>46284</v>
      </c>
      <c r="B115" s="7" t="s">
        <v>84</v>
      </c>
      <c r="C115" s="7" t="s">
        <v>125</v>
      </c>
      <c r="D115" s="7" t="s">
        <v>69</v>
      </c>
      <c r="E115" s="7" t="s">
        <v>19</v>
      </c>
      <c r="F115" s="7" t="s">
        <v>32</v>
      </c>
      <c r="G115" s="7">
        <v>21</v>
      </c>
      <c r="H115" s="7" t="s">
        <v>21</v>
      </c>
      <c r="I115" s="7">
        <v>11</v>
      </c>
      <c r="J115" s="7">
        <v>8</v>
      </c>
      <c r="K115" s="7">
        <v>3</v>
      </c>
      <c r="L115" s="7">
        <v>9</v>
      </c>
      <c r="M115" s="7">
        <v>9.9</v>
      </c>
      <c r="N115" s="7">
        <v>0.9</v>
      </c>
      <c r="O115" s="2">
        <v>0.67800000000000005</v>
      </c>
      <c r="P115" s="2">
        <v>0.63</v>
      </c>
      <c r="Q115" s="2">
        <v>0.65900000000000003</v>
      </c>
      <c r="R115" s="7" t="s">
        <v>54</v>
      </c>
    </row>
    <row r="116" spans="1:18" x14ac:dyDescent="0.25">
      <c r="A116" s="1">
        <v>46285</v>
      </c>
      <c r="B116" s="7" t="s">
        <v>84</v>
      </c>
      <c r="C116" s="7" t="s">
        <v>124</v>
      </c>
      <c r="D116" s="7" t="s">
        <v>62</v>
      </c>
      <c r="E116" s="7" t="s">
        <v>19</v>
      </c>
      <c r="F116" s="7" t="s">
        <v>24</v>
      </c>
      <c r="G116" s="7">
        <v>20</v>
      </c>
      <c r="H116" s="7" t="s">
        <v>21</v>
      </c>
      <c r="I116" s="7">
        <v>13</v>
      </c>
      <c r="J116" s="7">
        <v>15</v>
      </c>
      <c r="K116" s="7">
        <v>0</v>
      </c>
      <c r="L116" s="7">
        <v>9</v>
      </c>
      <c r="M116" s="7">
        <v>10.5</v>
      </c>
      <c r="N116" s="7">
        <v>1.5</v>
      </c>
      <c r="O116" s="2">
        <v>1</v>
      </c>
      <c r="P116" s="2">
        <v>1</v>
      </c>
      <c r="Q116" s="2">
        <v>1</v>
      </c>
      <c r="R116" s="7" t="s">
        <v>22</v>
      </c>
    </row>
    <row r="117" spans="1:18" x14ac:dyDescent="0.25">
      <c r="A117" s="1">
        <v>46286</v>
      </c>
      <c r="B117" s="7" t="s">
        <v>84</v>
      </c>
      <c r="C117" s="7" t="s">
        <v>123</v>
      </c>
      <c r="D117" s="7" t="s">
        <v>71</v>
      </c>
      <c r="E117" s="7" t="s">
        <v>27</v>
      </c>
      <c r="F117" s="7" t="s">
        <v>28</v>
      </c>
      <c r="G117" s="7">
        <v>22</v>
      </c>
      <c r="H117" s="7" t="s">
        <v>21</v>
      </c>
      <c r="I117" s="7">
        <v>8</v>
      </c>
      <c r="J117" s="7">
        <v>5</v>
      </c>
      <c r="K117" s="7">
        <v>50</v>
      </c>
      <c r="L117" s="7">
        <v>8</v>
      </c>
      <c r="M117" s="7">
        <v>7.9</v>
      </c>
      <c r="N117" s="7">
        <v>0</v>
      </c>
      <c r="O117" s="2">
        <v>0.57399999999999995</v>
      </c>
      <c r="P117" s="2">
        <v>0.66600000000000004</v>
      </c>
      <c r="Q117" s="2">
        <v>0.61099999999999999</v>
      </c>
      <c r="R117" s="7" t="s">
        <v>54</v>
      </c>
    </row>
    <row r="118" spans="1:18" x14ac:dyDescent="0.25">
      <c r="A118" s="1">
        <v>46287</v>
      </c>
      <c r="B118" s="7" t="s">
        <v>84</v>
      </c>
      <c r="C118" s="7" t="s">
        <v>122</v>
      </c>
      <c r="D118" s="7" t="s">
        <v>79</v>
      </c>
      <c r="E118" s="7" t="s">
        <v>27</v>
      </c>
      <c r="F118" s="7" t="s">
        <v>20</v>
      </c>
      <c r="G118" s="7">
        <v>21</v>
      </c>
      <c r="H118" s="7" t="s">
        <v>21</v>
      </c>
      <c r="I118" s="7">
        <v>9</v>
      </c>
      <c r="J118" s="7">
        <v>10</v>
      </c>
      <c r="K118" s="7">
        <v>0</v>
      </c>
      <c r="L118" s="7">
        <v>8</v>
      </c>
      <c r="M118" s="7">
        <v>9.1</v>
      </c>
      <c r="N118" s="7">
        <v>1.1000000000000001</v>
      </c>
      <c r="O118" s="2">
        <v>1</v>
      </c>
      <c r="P118" s="2">
        <v>1</v>
      </c>
      <c r="Q118" s="2">
        <v>1</v>
      </c>
      <c r="R118" s="7" t="s">
        <v>22</v>
      </c>
    </row>
    <row r="119" spans="1:18" x14ac:dyDescent="0.25">
      <c r="A119" s="1">
        <v>46288</v>
      </c>
      <c r="B119" s="7" t="s">
        <v>84</v>
      </c>
      <c r="C119" s="7" t="s">
        <v>121</v>
      </c>
      <c r="D119" s="7" t="s">
        <v>72</v>
      </c>
      <c r="E119" s="7" t="s">
        <v>31</v>
      </c>
      <c r="F119" s="7" t="s">
        <v>32</v>
      </c>
      <c r="G119" s="7">
        <v>21</v>
      </c>
      <c r="H119" s="7" t="s">
        <v>37</v>
      </c>
      <c r="I119" s="7">
        <v>16</v>
      </c>
      <c r="J119" s="7">
        <v>13</v>
      </c>
      <c r="K119" s="7">
        <v>3</v>
      </c>
      <c r="L119" s="7">
        <v>8</v>
      </c>
      <c r="M119" s="7">
        <v>8.4</v>
      </c>
      <c r="N119" s="7">
        <v>0.4</v>
      </c>
      <c r="O119" s="2">
        <v>0.876</v>
      </c>
      <c r="P119" s="2">
        <v>0.79800000000000004</v>
      </c>
      <c r="Q119" s="2">
        <v>0.84499999999999997</v>
      </c>
      <c r="R119" s="7" t="s">
        <v>40</v>
      </c>
    </row>
    <row r="120" spans="1:18" x14ac:dyDescent="0.25">
      <c r="A120" s="1">
        <v>46289</v>
      </c>
      <c r="B120" s="7" t="s">
        <v>84</v>
      </c>
      <c r="C120" s="7" t="s">
        <v>129</v>
      </c>
      <c r="D120" s="7" t="s">
        <v>73</v>
      </c>
      <c r="E120" s="7" t="s">
        <v>35</v>
      </c>
      <c r="F120" s="7" t="s">
        <v>24</v>
      </c>
      <c r="G120" s="7">
        <v>22</v>
      </c>
      <c r="H120" s="7" t="s">
        <v>25</v>
      </c>
      <c r="I120" s="7">
        <v>19</v>
      </c>
      <c r="J120" s="7">
        <v>21</v>
      </c>
      <c r="K120" s="7">
        <v>0</v>
      </c>
      <c r="L120" s="7">
        <v>7</v>
      </c>
      <c r="M120" s="7">
        <v>7.4</v>
      </c>
      <c r="N120" s="7">
        <v>0.4</v>
      </c>
      <c r="O120" s="2">
        <v>1</v>
      </c>
      <c r="P120" s="2">
        <v>0.89500000000000002</v>
      </c>
      <c r="Q120" s="2">
        <v>0.95799999999999996</v>
      </c>
      <c r="R120" s="7" t="s">
        <v>22</v>
      </c>
    </row>
    <row r="121" spans="1:18" x14ac:dyDescent="0.25">
      <c r="A121" s="1">
        <v>46290</v>
      </c>
      <c r="B121" s="7" t="s">
        <v>84</v>
      </c>
      <c r="C121" s="7" t="s">
        <v>117</v>
      </c>
      <c r="D121" s="7" t="s">
        <v>74</v>
      </c>
      <c r="E121" s="7" t="s">
        <v>35</v>
      </c>
      <c r="F121" s="7" t="s">
        <v>20</v>
      </c>
      <c r="G121" s="7">
        <v>22</v>
      </c>
      <c r="H121" s="7" t="s">
        <v>21</v>
      </c>
      <c r="I121" s="7">
        <v>17</v>
      </c>
      <c r="J121" s="7">
        <v>16</v>
      </c>
      <c r="K121" s="7">
        <v>1</v>
      </c>
      <c r="L121" s="7">
        <v>9</v>
      </c>
      <c r="M121" s="7">
        <v>10.7</v>
      </c>
      <c r="N121" s="7">
        <v>1.7</v>
      </c>
      <c r="O121" s="2">
        <v>0.997</v>
      </c>
      <c r="P121" s="2">
        <v>1</v>
      </c>
      <c r="Q121" s="2">
        <v>0.998</v>
      </c>
      <c r="R121" s="7" t="s">
        <v>22</v>
      </c>
    </row>
    <row r="122" spans="1:18" x14ac:dyDescent="0.25">
      <c r="A122" s="1">
        <v>46291</v>
      </c>
      <c r="B122" s="7" t="s">
        <v>84</v>
      </c>
      <c r="C122" s="7" t="s">
        <v>218</v>
      </c>
      <c r="D122" s="7" t="s">
        <v>75</v>
      </c>
      <c r="E122" s="7" t="s">
        <v>39</v>
      </c>
      <c r="F122" s="7" t="s">
        <v>32</v>
      </c>
      <c r="G122" s="7">
        <v>21</v>
      </c>
      <c r="H122" s="7" t="s">
        <v>37</v>
      </c>
      <c r="I122" s="7">
        <v>12</v>
      </c>
      <c r="J122" s="7">
        <v>14</v>
      </c>
      <c r="K122" s="7">
        <v>0</v>
      </c>
      <c r="L122" s="7">
        <v>8</v>
      </c>
      <c r="M122" s="7">
        <v>8</v>
      </c>
      <c r="N122" s="7">
        <v>0</v>
      </c>
      <c r="O122" s="2">
        <v>1</v>
      </c>
      <c r="P122" s="2">
        <v>1</v>
      </c>
      <c r="Q122" s="2">
        <v>1</v>
      </c>
      <c r="R122" s="7" t="s">
        <v>22</v>
      </c>
    </row>
    <row r="123" spans="1:18" x14ac:dyDescent="0.25">
      <c r="A123" s="1">
        <v>46292</v>
      </c>
      <c r="B123" s="7" t="s">
        <v>84</v>
      </c>
      <c r="C123" s="7" t="s">
        <v>219</v>
      </c>
      <c r="D123" s="7" t="s">
        <v>76</v>
      </c>
      <c r="E123" s="7" t="s">
        <v>39</v>
      </c>
      <c r="F123" s="7" t="s">
        <v>24</v>
      </c>
      <c r="G123" s="7">
        <v>22</v>
      </c>
      <c r="H123" s="7" t="s">
        <v>21</v>
      </c>
      <c r="I123" s="7">
        <v>11</v>
      </c>
      <c r="J123" s="7">
        <v>11</v>
      </c>
      <c r="K123" s="7">
        <v>0</v>
      </c>
      <c r="L123" s="7">
        <v>9</v>
      </c>
      <c r="M123" s="7">
        <v>10.7</v>
      </c>
      <c r="N123" s="7">
        <v>1.7</v>
      </c>
      <c r="O123" s="2">
        <v>1</v>
      </c>
      <c r="P123" s="2">
        <v>1</v>
      </c>
      <c r="Q123" s="2">
        <v>1</v>
      </c>
      <c r="R123" s="7" t="s">
        <v>22</v>
      </c>
    </row>
    <row r="124" spans="1:18" x14ac:dyDescent="0.25">
      <c r="A124" s="1">
        <v>46302</v>
      </c>
      <c r="B124" s="7" t="s">
        <v>81</v>
      </c>
      <c r="C124" s="7" t="s">
        <v>220</v>
      </c>
      <c r="D124" s="7" t="s">
        <v>77</v>
      </c>
      <c r="E124" s="7" t="s">
        <v>43</v>
      </c>
      <c r="F124" s="7" t="s">
        <v>28</v>
      </c>
      <c r="G124" s="7">
        <v>20</v>
      </c>
      <c r="H124" s="7" t="s">
        <v>37</v>
      </c>
      <c r="I124" s="7">
        <v>17</v>
      </c>
      <c r="J124" s="7">
        <v>16</v>
      </c>
      <c r="K124" s="7">
        <v>1</v>
      </c>
      <c r="L124" s="7">
        <v>8</v>
      </c>
      <c r="M124" s="7">
        <v>5.0999999999999996</v>
      </c>
      <c r="N124" s="7">
        <v>0</v>
      </c>
      <c r="O124" s="2">
        <v>0.94899999999999995</v>
      </c>
      <c r="P124" s="2">
        <v>0.82899999999999996</v>
      </c>
      <c r="Q124" s="2">
        <v>0.90100000000000002</v>
      </c>
      <c r="R124" s="7" t="s">
        <v>22</v>
      </c>
    </row>
    <row r="125" spans="1:18" x14ac:dyDescent="0.25">
      <c r="A125" s="1">
        <v>46303</v>
      </c>
      <c r="B125" s="7" t="s">
        <v>81</v>
      </c>
      <c r="C125" s="7" t="s">
        <v>221</v>
      </c>
      <c r="D125" s="7" t="s">
        <v>63</v>
      </c>
      <c r="E125" s="7" t="s">
        <v>43</v>
      </c>
      <c r="F125" s="7" t="s">
        <v>32</v>
      </c>
      <c r="G125" s="7">
        <v>21</v>
      </c>
      <c r="H125" s="7" t="s">
        <v>21</v>
      </c>
      <c r="I125" s="7">
        <v>14</v>
      </c>
      <c r="J125" s="7">
        <v>17</v>
      </c>
      <c r="K125" s="7">
        <v>0</v>
      </c>
      <c r="L125" s="7">
        <v>9</v>
      </c>
      <c r="M125" s="7">
        <v>9.9</v>
      </c>
      <c r="N125" s="7">
        <v>0.9</v>
      </c>
      <c r="O125" s="2">
        <v>1</v>
      </c>
      <c r="P125" s="2">
        <v>0.95099999999999996</v>
      </c>
      <c r="Q125" s="2">
        <v>0.98</v>
      </c>
      <c r="R125" s="7" t="s">
        <v>22</v>
      </c>
    </row>
    <row r="126" spans="1:18" x14ac:dyDescent="0.25">
      <c r="A126" s="1">
        <v>46304</v>
      </c>
      <c r="B126" s="7" t="s">
        <v>81</v>
      </c>
      <c r="C126" s="7" t="s">
        <v>222</v>
      </c>
      <c r="D126" s="7" t="s">
        <v>78</v>
      </c>
      <c r="E126" s="7" t="s">
        <v>27</v>
      </c>
      <c r="F126" s="7" t="s">
        <v>20</v>
      </c>
      <c r="G126" s="7">
        <v>21</v>
      </c>
      <c r="H126" s="7" t="s">
        <v>21</v>
      </c>
      <c r="I126" s="7">
        <v>18</v>
      </c>
      <c r="J126" s="7">
        <v>16</v>
      </c>
      <c r="K126" s="7">
        <v>2</v>
      </c>
      <c r="L126" s="7">
        <v>9</v>
      </c>
      <c r="M126" s="7">
        <v>9.1</v>
      </c>
      <c r="N126" s="7">
        <v>0.1</v>
      </c>
      <c r="O126" s="2">
        <v>0.88500000000000001</v>
      </c>
      <c r="P126" s="2">
        <v>0.96299999999999997</v>
      </c>
      <c r="Q126" s="2">
        <v>0.91600000000000004</v>
      </c>
      <c r="R126" s="7" t="s">
        <v>22</v>
      </c>
    </row>
    <row r="127" spans="1:18" x14ac:dyDescent="0.25">
      <c r="A127" s="1">
        <v>46305</v>
      </c>
      <c r="B127" s="7" t="s">
        <v>81</v>
      </c>
      <c r="C127" s="7" t="s">
        <v>223</v>
      </c>
      <c r="D127" s="7" t="s">
        <v>65</v>
      </c>
      <c r="E127" s="7" t="s">
        <v>31</v>
      </c>
      <c r="F127" s="7" t="s">
        <v>24</v>
      </c>
      <c r="G127" s="7">
        <v>21</v>
      </c>
      <c r="H127" s="7" t="s">
        <v>21</v>
      </c>
      <c r="I127" s="7">
        <v>20</v>
      </c>
      <c r="J127" s="7">
        <v>18</v>
      </c>
      <c r="K127" s="7">
        <v>2</v>
      </c>
      <c r="L127" s="7">
        <v>9</v>
      </c>
      <c r="M127" s="7">
        <v>9.1</v>
      </c>
      <c r="N127" s="7">
        <v>0.1</v>
      </c>
      <c r="O127" s="2">
        <v>0.87</v>
      </c>
      <c r="P127" s="2">
        <v>0.92700000000000005</v>
      </c>
      <c r="Q127" s="2">
        <v>0.89300000000000002</v>
      </c>
      <c r="R127" s="7" t="s">
        <v>40</v>
      </c>
    </row>
    <row r="128" spans="1:18" x14ac:dyDescent="0.25">
      <c r="A128" s="1">
        <v>46306</v>
      </c>
      <c r="B128" s="7" t="s">
        <v>81</v>
      </c>
      <c r="C128" s="7" t="s">
        <v>224</v>
      </c>
      <c r="D128" s="7" t="s">
        <v>60</v>
      </c>
      <c r="E128" s="7" t="s">
        <v>35</v>
      </c>
      <c r="F128" s="7" t="s">
        <v>32</v>
      </c>
      <c r="G128" s="7">
        <v>20</v>
      </c>
      <c r="H128" s="7" t="s">
        <v>21</v>
      </c>
      <c r="I128" s="7">
        <v>8</v>
      </c>
      <c r="J128" s="7">
        <v>6</v>
      </c>
      <c r="K128" s="7">
        <v>2</v>
      </c>
      <c r="L128" s="7">
        <v>8</v>
      </c>
      <c r="M128" s="7">
        <v>5.8</v>
      </c>
      <c r="N128" s="7">
        <v>0</v>
      </c>
      <c r="O128" s="2">
        <v>0.76800000000000002</v>
      </c>
      <c r="P128" s="2">
        <v>0.81699999999999995</v>
      </c>
      <c r="Q128" s="2">
        <v>0.78800000000000003</v>
      </c>
      <c r="R128" s="7" t="s">
        <v>40</v>
      </c>
    </row>
    <row r="129" spans="1:18" x14ac:dyDescent="0.25">
      <c r="A129" s="1">
        <v>46307</v>
      </c>
      <c r="B129" s="7" t="s">
        <v>81</v>
      </c>
      <c r="C129" s="7" t="s">
        <v>225</v>
      </c>
      <c r="D129" s="7" t="s">
        <v>66</v>
      </c>
      <c r="E129" s="7" t="s">
        <v>39</v>
      </c>
      <c r="F129" s="7" t="s">
        <v>20</v>
      </c>
      <c r="G129" s="7">
        <v>21</v>
      </c>
      <c r="H129" s="7" t="s">
        <v>21</v>
      </c>
      <c r="I129" s="7">
        <v>18</v>
      </c>
      <c r="J129" s="7">
        <v>19</v>
      </c>
      <c r="K129" s="7">
        <v>50</v>
      </c>
      <c r="L129" s="7">
        <v>7</v>
      </c>
      <c r="M129" s="7">
        <v>6.8</v>
      </c>
      <c r="N129" s="7">
        <v>0</v>
      </c>
      <c r="O129" s="2">
        <v>1</v>
      </c>
      <c r="P129" s="2">
        <v>0.96399999999999997</v>
      </c>
      <c r="Q129" s="2">
        <v>0.98599999999999999</v>
      </c>
      <c r="R129" s="7" t="s">
        <v>22</v>
      </c>
    </row>
    <row r="130" spans="1:18" x14ac:dyDescent="0.25">
      <c r="A130" s="1">
        <v>46308</v>
      </c>
      <c r="B130" s="7" t="s">
        <v>81</v>
      </c>
      <c r="C130" s="7" t="s">
        <v>226</v>
      </c>
      <c r="D130" s="7" t="s">
        <v>67</v>
      </c>
      <c r="E130" s="7" t="s">
        <v>43</v>
      </c>
      <c r="F130" s="7" t="s">
        <v>24</v>
      </c>
      <c r="G130" s="7">
        <v>21</v>
      </c>
      <c r="H130" s="7" t="s">
        <v>21</v>
      </c>
      <c r="I130" s="7">
        <v>10</v>
      </c>
      <c r="J130" s="7">
        <v>12</v>
      </c>
      <c r="K130" s="7">
        <v>0</v>
      </c>
      <c r="L130" s="7">
        <v>9</v>
      </c>
      <c r="M130" s="7">
        <v>9.4</v>
      </c>
      <c r="N130" s="7">
        <v>0.4</v>
      </c>
      <c r="O130" s="2">
        <v>1</v>
      </c>
      <c r="P130" s="2">
        <v>1</v>
      </c>
      <c r="Q130" s="2">
        <v>1</v>
      </c>
      <c r="R130" s="7" t="s">
        <v>22</v>
      </c>
    </row>
    <row r="131" spans="1:18" x14ac:dyDescent="0.25">
      <c r="A131" s="1">
        <v>46309</v>
      </c>
      <c r="B131" s="7" t="s">
        <v>81</v>
      </c>
      <c r="C131" s="7" t="s">
        <v>227</v>
      </c>
      <c r="D131" s="7" t="s">
        <v>68</v>
      </c>
      <c r="E131" s="7" t="s">
        <v>19</v>
      </c>
      <c r="F131" s="7" t="s">
        <v>28</v>
      </c>
      <c r="G131" s="7">
        <v>20</v>
      </c>
      <c r="H131" s="7" t="s">
        <v>21</v>
      </c>
      <c r="I131" s="7">
        <v>11</v>
      </c>
      <c r="J131" s="7">
        <v>9</v>
      </c>
      <c r="K131" s="7">
        <v>2</v>
      </c>
      <c r="L131" s="7">
        <v>9</v>
      </c>
      <c r="M131" s="7">
        <v>10.6</v>
      </c>
      <c r="N131" s="7">
        <v>1.6</v>
      </c>
      <c r="O131" s="2">
        <v>0.82099999999999995</v>
      </c>
      <c r="P131" s="2">
        <v>0.71199999999999997</v>
      </c>
      <c r="Q131" s="2">
        <v>0.77700000000000002</v>
      </c>
      <c r="R131" s="7" t="s">
        <v>40</v>
      </c>
    </row>
    <row r="132" spans="1:18" x14ac:dyDescent="0.25">
      <c r="A132" s="1">
        <v>46315</v>
      </c>
      <c r="B132" s="7" t="s">
        <v>81</v>
      </c>
      <c r="C132" s="7" t="s">
        <v>228</v>
      </c>
      <c r="D132" s="7" t="s">
        <v>61</v>
      </c>
      <c r="E132" s="8" t="s">
        <v>27</v>
      </c>
      <c r="F132" s="7" t="s">
        <v>20</v>
      </c>
      <c r="G132" s="7">
        <v>20</v>
      </c>
      <c r="H132" s="7" t="s">
        <v>21</v>
      </c>
      <c r="I132" s="7">
        <v>15</v>
      </c>
      <c r="J132" s="7">
        <v>13</v>
      </c>
      <c r="K132" s="7">
        <v>2</v>
      </c>
      <c r="L132" s="7">
        <v>8</v>
      </c>
      <c r="M132" s="7">
        <v>7.4</v>
      </c>
      <c r="N132" s="7">
        <v>0</v>
      </c>
      <c r="O132" s="2">
        <v>0.89300000000000002</v>
      </c>
      <c r="P132" s="2">
        <v>0.99</v>
      </c>
      <c r="Q132" s="2">
        <v>0.93200000000000005</v>
      </c>
      <c r="R132" s="7" t="s">
        <v>22</v>
      </c>
    </row>
    <row r="133" spans="1:18" x14ac:dyDescent="0.25">
      <c r="A133" s="1">
        <v>46316</v>
      </c>
      <c r="B133" s="7" t="s">
        <v>81</v>
      </c>
      <c r="C133" s="7" t="s">
        <v>229</v>
      </c>
      <c r="D133" s="7" t="s">
        <v>62</v>
      </c>
      <c r="E133" s="7" t="s">
        <v>19</v>
      </c>
      <c r="F133" s="7" t="s">
        <v>24</v>
      </c>
      <c r="G133" s="7">
        <v>21</v>
      </c>
      <c r="H133" s="7" t="s">
        <v>37</v>
      </c>
      <c r="I133" s="7">
        <v>15</v>
      </c>
      <c r="J133" s="7">
        <v>13</v>
      </c>
      <c r="K133" s="7">
        <v>2</v>
      </c>
      <c r="L133" s="7">
        <v>9</v>
      </c>
      <c r="M133" s="7">
        <v>8.4</v>
      </c>
      <c r="N133" s="7">
        <v>0</v>
      </c>
      <c r="O133" s="2">
        <v>0.92500000000000004</v>
      </c>
      <c r="P133" s="2">
        <v>0.90400000000000003</v>
      </c>
      <c r="Q133" s="2">
        <v>0.91700000000000004</v>
      </c>
      <c r="R133" s="7" t="s">
        <v>22</v>
      </c>
    </row>
    <row r="134" spans="1:18" x14ac:dyDescent="0.25">
      <c r="A134" s="1">
        <v>46317</v>
      </c>
      <c r="B134" s="7" t="s">
        <v>81</v>
      </c>
      <c r="C134" s="7" t="s">
        <v>230</v>
      </c>
      <c r="D134" s="7" t="s">
        <v>70</v>
      </c>
      <c r="E134" s="7" t="s">
        <v>19</v>
      </c>
      <c r="F134" s="7" t="s">
        <v>28</v>
      </c>
      <c r="G134" s="7">
        <v>20</v>
      </c>
      <c r="H134" s="7" t="s">
        <v>25</v>
      </c>
      <c r="I134" s="7">
        <v>12</v>
      </c>
      <c r="J134" s="7">
        <v>15</v>
      </c>
      <c r="K134" s="7">
        <v>0</v>
      </c>
      <c r="L134" s="7">
        <v>9</v>
      </c>
      <c r="M134" s="7">
        <v>10</v>
      </c>
      <c r="N134" s="7">
        <v>1</v>
      </c>
      <c r="O134" s="2">
        <v>1</v>
      </c>
      <c r="P134" s="2">
        <v>0.93300000000000005</v>
      </c>
      <c r="Q134" s="2">
        <v>0.97299999999999998</v>
      </c>
      <c r="R134" s="7" t="s">
        <v>22</v>
      </c>
    </row>
    <row r="135" spans="1:18" x14ac:dyDescent="0.25">
      <c r="A135" s="1">
        <v>46318</v>
      </c>
      <c r="B135" s="7" t="s">
        <v>81</v>
      </c>
      <c r="C135" s="7" t="s">
        <v>231</v>
      </c>
      <c r="D135" s="7" t="s">
        <v>71</v>
      </c>
      <c r="E135" s="7" t="s">
        <v>27</v>
      </c>
      <c r="F135" s="7" t="s">
        <v>20</v>
      </c>
      <c r="G135" s="7">
        <v>21</v>
      </c>
      <c r="H135" s="7" t="s">
        <v>21</v>
      </c>
      <c r="I135" s="7">
        <v>19</v>
      </c>
      <c r="J135" s="7">
        <v>18</v>
      </c>
      <c r="K135" s="7">
        <v>1</v>
      </c>
      <c r="L135" s="7">
        <v>7</v>
      </c>
      <c r="M135" s="7">
        <v>7.4</v>
      </c>
      <c r="N135" s="7">
        <v>0.4</v>
      </c>
      <c r="O135" s="2">
        <v>0.91100000000000003</v>
      </c>
      <c r="P135" s="2">
        <v>0.86099999999999999</v>
      </c>
      <c r="Q135" s="2">
        <v>0.89100000000000001</v>
      </c>
      <c r="R135" s="7" t="s">
        <v>40</v>
      </c>
    </row>
    <row r="136" spans="1:18" x14ac:dyDescent="0.25">
      <c r="A136" s="1">
        <v>46319</v>
      </c>
      <c r="B136" s="7" t="s">
        <v>81</v>
      </c>
      <c r="C136" s="7" t="s">
        <v>232</v>
      </c>
      <c r="D136" s="7" t="s">
        <v>79</v>
      </c>
      <c r="E136" s="7" t="s">
        <v>27</v>
      </c>
      <c r="F136" s="7" t="s">
        <v>32</v>
      </c>
      <c r="G136" s="7">
        <v>22</v>
      </c>
      <c r="H136" s="7" t="s">
        <v>21</v>
      </c>
      <c r="I136" s="7">
        <v>10</v>
      </c>
      <c r="J136" s="7">
        <v>8</v>
      </c>
      <c r="K136" s="7">
        <v>2</v>
      </c>
      <c r="L136" s="7">
        <v>7</v>
      </c>
      <c r="M136" s="7">
        <v>6.4</v>
      </c>
      <c r="N136" s="7">
        <v>0</v>
      </c>
      <c r="O136" s="2">
        <v>0.78100000000000003</v>
      </c>
      <c r="P136" s="2">
        <v>0.69499999999999995</v>
      </c>
      <c r="Q136" s="2">
        <v>0.747</v>
      </c>
      <c r="R136" s="7" t="s">
        <v>54</v>
      </c>
    </row>
    <row r="137" spans="1:18" x14ac:dyDescent="0.25">
      <c r="A137" s="1">
        <v>46320</v>
      </c>
      <c r="B137" s="7" t="s">
        <v>81</v>
      </c>
      <c r="C137" s="7" t="s">
        <v>233</v>
      </c>
      <c r="D137" s="7" t="s">
        <v>72</v>
      </c>
      <c r="E137" s="7" t="s">
        <v>31</v>
      </c>
      <c r="F137" s="7" t="s">
        <v>28</v>
      </c>
      <c r="G137" s="7">
        <v>20</v>
      </c>
      <c r="H137" s="7" t="s">
        <v>21</v>
      </c>
      <c r="I137" s="7">
        <v>14</v>
      </c>
      <c r="J137" s="7">
        <v>14</v>
      </c>
      <c r="K137" s="7">
        <v>0</v>
      </c>
      <c r="L137" s="7">
        <v>8</v>
      </c>
      <c r="M137" s="7">
        <v>8.6</v>
      </c>
      <c r="N137" s="7">
        <v>0.6</v>
      </c>
      <c r="O137" s="2">
        <v>1</v>
      </c>
      <c r="P137" s="2">
        <v>0.97099999999999997</v>
      </c>
      <c r="Q137" s="2">
        <v>0.98799999999999999</v>
      </c>
      <c r="R137" s="7" t="s">
        <v>22</v>
      </c>
    </row>
    <row r="138" spans="1:18" x14ac:dyDescent="0.25">
      <c r="A138" s="1">
        <v>46321</v>
      </c>
      <c r="B138" s="7" t="s">
        <v>81</v>
      </c>
      <c r="C138" s="7" t="s">
        <v>234</v>
      </c>
      <c r="D138" s="7" t="s">
        <v>73</v>
      </c>
      <c r="E138" s="7" t="s">
        <v>31</v>
      </c>
      <c r="F138" s="7" t="s">
        <v>24</v>
      </c>
      <c r="G138" s="7">
        <v>20</v>
      </c>
      <c r="H138" s="7" t="s">
        <v>21</v>
      </c>
      <c r="I138" s="7">
        <v>14</v>
      </c>
      <c r="J138" s="7">
        <v>17</v>
      </c>
      <c r="K138" s="7">
        <v>0</v>
      </c>
      <c r="L138" s="7">
        <v>9</v>
      </c>
      <c r="M138" s="7">
        <v>9.1</v>
      </c>
      <c r="N138" s="7">
        <v>0.1</v>
      </c>
      <c r="O138" s="2">
        <v>1</v>
      </c>
      <c r="P138" s="2">
        <v>0.88400000000000001</v>
      </c>
      <c r="Q138" s="2">
        <v>0.95399999999999996</v>
      </c>
      <c r="R138" s="7" t="s">
        <v>22</v>
      </c>
    </row>
    <row r="139" spans="1:18" x14ac:dyDescent="0.25">
      <c r="A139" s="1">
        <v>46322</v>
      </c>
      <c r="B139" s="7" t="s">
        <v>81</v>
      </c>
      <c r="C139" s="7" t="s">
        <v>235</v>
      </c>
      <c r="D139" s="7" t="s">
        <v>75</v>
      </c>
      <c r="E139" s="7" t="s">
        <v>35</v>
      </c>
      <c r="F139" s="7" t="s">
        <v>20</v>
      </c>
      <c r="G139" s="7">
        <v>22</v>
      </c>
      <c r="H139" s="7" t="s">
        <v>21</v>
      </c>
      <c r="I139" s="7">
        <v>15</v>
      </c>
      <c r="J139" s="7">
        <v>12</v>
      </c>
      <c r="K139" s="7">
        <v>3</v>
      </c>
      <c r="L139" s="7">
        <v>8</v>
      </c>
      <c r="M139" s="7">
        <v>9.1</v>
      </c>
      <c r="N139" s="7">
        <v>1.1000000000000001</v>
      </c>
      <c r="O139" s="2">
        <v>0.76800000000000002</v>
      </c>
      <c r="P139" s="2">
        <v>0.73399999999999999</v>
      </c>
      <c r="Q139" s="2">
        <v>0.754</v>
      </c>
      <c r="R139" s="7" t="s">
        <v>40</v>
      </c>
    </row>
    <row r="140" spans="1:18" x14ac:dyDescent="0.25">
      <c r="A140" s="1">
        <v>46323</v>
      </c>
      <c r="B140" s="7" t="s">
        <v>81</v>
      </c>
      <c r="C140" s="7" t="s">
        <v>236</v>
      </c>
      <c r="D140" s="7" t="s">
        <v>76</v>
      </c>
      <c r="E140" s="7" t="s">
        <v>35</v>
      </c>
      <c r="F140" s="7" t="s">
        <v>24</v>
      </c>
      <c r="G140" s="7">
        <v>21</v>
      </c>
      <c r="H140" s="7" t="s">
        <v>21</v>
      </c>
      <c r="I140" s="7">
        <v>12</v>
      </c>
      <c r="J140" s="7">
        <v>12</v>
      </c>
      <c r="K140" s="7">
        <v>0</v>
      </c>
      <c r="L140" s="7">
        <v>8</v>
      </c>
      <c r="M140" s="7">
        <v>7.6</v>
      </c>
      <c r="N140" s="7">
        <v>0</v>
      </c>
      <c r="O140" s="2">
        <v>0.92500000000000004</v>
      </c>
      <c r="P140" s="2">
        <v>0.879</v>
      </c>
      <c r="Q140" s="2">
        <v>0.90700000000000003</v>
      </c>
      <c r="R140" s="7" t="s">
        <v>22</v>
      </c>
    </row>
    <row r="141" spans="1:18" x14ac:dyDescent="0.25">
      <c r="A141" s="1">
        <v>46324</v>
      </c>
      <c r="B141" s="7" t="s">
        <v>81</v>
      </c>
      <c r="C141" s="7" t="s">
        <v>237</v>
      </c>
      <c r="D141" s="7" t="s">
        <v>77</v>
      </c>
      <c r="E141" s="7" t="s">
        <v>39</v>
      </c>
      <c r="F141" s="7" t="s">
        <v>28</v>
      </c>
      <c r="G141" s="7">
        <v>22</v>
      </c>
      <c r="H141" s="7" t="s">
        <v>21</v>
      </c>
      <c r="I141" s="7">
        <v>19</v>
      </c>
      <c r="J141" s="7">
        <v>17</v>
      </c>
      <c r="K141" s="7">
        <v>2</v>
      </c>
      <c r="L141" s="7">
        <v>8</v>
      </c>
      <c r="M141" s="7">
        <v>7.6</v>
      </c>
      <c r="N141" s="7">
        <v>0</v>
      </c>
      <c r="O141" s="2">
        <v>0.96199999999999997</v>
      </c>
      <c r="P141" s="2">
        <v>1</v>
      </c>
      <c r="Q141" s="2">
        <v>0.97699999999999998</v>
      </c>
      <c r="R141" s="7" t="s">
        <v>22</v>
      </c>
    </row>
    <row r="142" spans="1:18" x14ac:dyDescent="0.25">
      <c r="A142" s="1">
        <v>46325</v>
      </c>
      <c r="B142" s="7" t="s">
        <v>81</v>
      </c>
      <c r="C142" s="7" t="s">
        <v>238</v>
      </c>
      <c r="D142" s="7" t="s">
        <v>63</v>
      </c>
      <c r="E142" s="7" t="s">
        <v>39</v>
      </c>
      <c r="F142" s="7" t="s">
        <v>32</v>
      </c>
      <c r="G142" s="7">
        <v>22</v>
      </c>
      <c r="H142" s="7" t="s">
        <v>21</v>
      </c>
      <c r="I142" s="7">
        <v>14</v>
      </c>
      <c r="J142" s="7">
        <v>15</v>
      </c>
      <c r="K142" s="7">
        <v>30</v>
      </c>
      <c r="L142" s="7">
        <v>9</v>
      </c>
      <c r="M142" s="7">
        <v>7.4</v>
      </c>
      <c r="N142" s="7">
        <v>0</v>
      </c>
      <c r="O142" s="2">
        <v>1</v>
      </c>
      <c r="P142" s="2">
        <v>0.89800000000000002</v>
      </c>
      <c r="Q142" s="2">
        <v>0.95899999999999996</v>
      </c>
      <c r="R142" s="7" t="s">
        <v>22</v>
      </c>
    </row>
    <row r="143" spans="1:18" x14ac:dyDescent="0.25">
      <c r="A143" s="1">
        <v>46331</v>
      </c>
      <c r="B143" s="7" t="s">
        <v>83</v>
      </c>
      <c r="C143" s="7" t="s">
        <v>239</v>
      </c>
      <c r="D143" s="7" t="s">
        <v>96</v>
      </c>
      <c r="E143" s="7" t="s">
        <v>43</v>
      </c>
      <c r="F143" s="7" t="s">
        <v>20</v>
      </c>
      <c r="G143" s="7">
        <v>21</v>
      </c>
      <c r="H143" s="7" t="s">
        <v>21</v>
      </c>
      <c r="I143" s="7">
        <v>15</v>
      </c>
      <c r="J143" s="7">
        <v>13</v>
      </c>
      <c r="K143" s="7">
        <v>2</v>
      </c>
      <c r="L143" s="7">
        <v>7</v>
      </c>
      <c r="M143" s="7">
        <v>7.3</v>
      </c>
      <c r="N143" s="7">
        <v>0.3</v>
      </c>
      <c r="O143" s="2">
        <v>0.82799999999999996</v>
      </c>
      <c r="P143" s="2">
        <v>0.78</v>
      </c>
      <c r="Q143" s="2">
        <v>0.80900000000000005</v>
      </c>
      <c r="R143" s="7" t="s">
        <v>40</v>
      </c>
    </row>
    <row r="144" spans="1:18" x14ac:dyDescent="0.25">
      <c r="A144" s="1">
        <v>46332</v>
      </c>
      <c r="B144" s="7" t="s">
        <v>83</v>
      </c>
      <c r="C144" s="7" t="s">
        <v>240</v>
      </c>
      <c r="D144" s="7" t="s">
        <v>78</v>
      </c>
      <c r="E144" s="7" t="s">
        <v>19</v>
      </c>
      <c r="F144" s="7" t="s">
        <v>28</v>
      </c>
      <c r="G144" s="7">
        <v>21</v>
      </c>
      <c r="H144" s="7" t="s">
        <v>21</v>
      </c>
      <c r="I144" s="7">
        <v>13</v>
      </c>
      <c r="J144" s="7">
        <v>16</v>
      </c>
      <c r="K144" s="7">
        <v>0</v>
      </c>
      <c r="L144" s="7">
        <v>8</v>
      </c>
      <c r="M144" s="7">
        <v>8.3000000000000007</v>
      </c>
      <c r="N144" s="7">
        <v>0.3</v>
      </c>
      <c r="O144" s="2">
        <v>1</v>
      </c>
      <c r="P144" s="2">
        <v>1</v>
      </c>
      <c r="Q144" s="2">
        <v>1</v>
      </c>
      <c r="R144" s="7" t="s">
        <v>22</v>
      </c>
    </row>
    <row r="145" spans="1:18" x14ac:dyDescent="0.25">
      <c r="A145" s="1">
        <v>46333</v>
      </c>
      <c r="B145" s="7" t="s">
        <v>83</v>
      </c>
      <c r="C145" s="7" t="s">
        <v>241</v>
      </c>
      <c r="D145" s="7" t="s">
        <v>65</v>
      </c>
      <c r="E145" s="7" t="s">
        <v>27</v>
      </c>
      <c r="F145" s="7" t="s">
        <v>24</v>
      </c>
      <c r="G145" s="7">
        <v>21</v>
      </c>
      <c r="H145" s="7" t="s">
        <v>21</v>
      </c>
      <c r="I145" s="7">
        <v>9</v>
      </c>
      <c r="J145" s="7">
        <v>9</v>
      </c>
      <c r="K145" s="7">
        <v>0</v>
      </c>
      <c r="L145" s="7">
        <v>7</v>
      </c>
      <c r="M145" s="7">
        <v>7</v>
      </c>
      <c r="N145" s="7">
        <v>0</v>
      </c>
      <c r="O145" s="2">
        <v>1</v>
      </c>
      <c r="P145" s="2">
        <v>0.89100000000000001</v>
      </c>
      <c r="Q145" s="2">
        <v>0.95599999999999996</v>
      </c>
      <c r="R145" s="7" t="s">
        <v>22</v>
      </c>
    </row>
    <row r="146" spans="1:18" x14ac:dyDescent="0.25">
      <c r="A146" s="1">
        <v>46334</v>
      </c>
      <c r="B146" s="7" t="s">
        <v>83</v>
      </c>
      <c r="C146" s="7" t="s">
        <v>242</v>
      </c>
      <c r="D146" s="7" t="s">
        <v>60</v>
      </c>
      <c r="E146" s="7" t="s">
        <v>31</v>
      </c>
      <c r="F146" s="8" t="s">
        <v>32</v>
      </c>
      <c r="G146" s="8">
        <v>21</v>
      </c>
      <c r="H146" s="8" t="s">
        <v>21</v>
      </c>
      <c r="I146" s="8">
        <v>18</v>
      </c>
      <c r="J146" s="8">
        <v>15</v>
      </c>
      <c r="K146" s="8">
        <v>3</v>
      </c>
      <c r="L146" s="8">
        <v>9</v>
      </c>
      <c r="M146" s="8">
        <v>8.6999999999999993</v>
      </c>
      <c r="N146" s="8">
        <v>0</v>
      </c>
      <c r="O146" s="4">
        <v>0.76</v>
      </c>
      <c r="P146" s="4">
        <v>0.64700000000000002</v>
      </c>
      <c r="Q146" s="4">
        <v>0.71499999999999997</v>
      </c>
      <c r="R146" s="8" t="s">
        <v>54</v>
      </c>
    </row>
    <row r="147" spans="1:18" x14ac:dyDescent="0.25">
      <c r="A147" s="1">
        <v>46335</v>
      </c>
      <c r="B147" s="7" t="s">
        <v>83</v>
      </c>
      <c r="C147" s="7" t="s">
        <v>243</v>
      </c>
      <c r="D147" s="7" t="s">
        <v>67</v>
      </c>
      <c r="E147" s="7" t="s">
        <v>35</v>
      </c>
      <c r="F147" s="7" t="s">
        <v>32</v>
      </c>
      <c r="G147" s="7">
        <v>20</v>
      </c>
      <c r="H147" s="7" t="s">
        <v>37</v>
      </c>
      <c r="I147" s="7">
        <v>10</v>
      </c>
      <c r="J147" s="7">
        <v>12</v>
      </c>
      <c r="K147" s="7">
        <v>0</v>
      </c>
      <c r="L147" s="7">
        <v>9</v>
      </c>
      <c r="M147" s="7">
        <v>9</v>
      </c>
      <c r="N147" s="7">
        <v>0</v>
      </c>
      <c r="O147" s="2">
        <v>1</v>
      </c>
      <c r="P147" s="2">
        <v>0.93300000000000005</v>
      </c>
      <c r="Q147" s="2">
        <v>0.97299999999999998</v>
      </c>
      <c r="R147" s="7" t="s">
        <v>22</v>
      </c>
    </row>
    <row r="148" spans="1:18" x14ac:dyDescent="0.25">
      <c r="A148" s="1">
        <v>46336</v>
      </c>
      <c r="B148" s="7" t="s">
        <v>83</v>
      </c>
      <c r="C148" s="7" t="s">
        <v>244</v>
      </c>
      <c r="D148" s="7" t="s">
        <v>95</v>
      </c>
      <c r="E148" s="7" t="s">
        <v>39</v>
      </c>
      <c r="F148" s="7" t="s">
        <v>24</v>
      </c>
      <c r="G148" s="7">
        <v>21</v>
      </c>
      <c r="H148" s="7" t="s">
        <v>21</v>
      </c>
      <c r="I148" s="7">
        <v>11</v>
      </c>
      <c r="J148" s="7">
        <v>8</v>
      </c>
      <c r="K148" s="7">
        <v>50</v>
      </c>
      <c r="L148" s="7">
        <v>7</v>
      </c>
      <c r="M148" s="7">
        <v>5.8</v>
      </c>
      <c r="N148" s="7">
        <v>0</v>
      </c>
      <c r="O148" s="2">
        <v>0.753</v>
      </c>
      <c r="P148" s="2">
        <v>0.71099999999999997</v>
      </c>
      <c r="Q148" s="2">
        <v>0.73599999999999999</v>
      </c>
      <c r="R148" s="7" t="s">
        <v>54</v>
      </c>
    </row>
    <row r="149" spans="1:18" x14ac:dyDescent="0.25">
      <c r="A149" s="1">
        <v>46337</v>
      </c>
      <c r="B149" s="7" t="s">
        <v>83</v>
      </c>
      <c r="C149" s="7" t="s">
        <v>245</v>
      </c>
      <c r="D149" s="7" t="s">
        <v>61</v>
      </c>
      <c r="E149" s="7" t="s">
        <v>43</v>
      </c>
      <c r="F149" s="7" t="s">
        <v>28</v>
      </c>
      <c r="G149" s="7">
        <v>21</v>
      </c>
      <c r="H149" s="7" t="s">
        <v>21</v>
      </c>
      <c r="I149" s="7">
        <v>19</v>
      </c>
      <c r="J149" s="7">
        <v>16</v>
      </c>
      <c r="K149" s="7">
        <v>3</v>
      </c>
      <c r="L149" s="7">
        <v>9</v>
      </c>
      <c r="M149" s="7">
        <v>9.9</v>
      </c>
      <c r="N149" s="7">
        <v>0.9</v>
      </c>
      <c r="O149" s="2">
        <v>0.86699999999999999</v>
      </c>
      <c r="P149" s="2">
        <v>0.88900000000000001</v>
      </c>
      <c r="Q149" s="2">
        <v>0.876</v>
      </c>
      <c r="R149" s="7" t="s">
        <v>40</v>
      </c>
    </row>
    <row r="150" spans="1:18" x14ac:dyDescent="0.25">
      <c r="A150" s="1">
        <v>46338</v>
      </c>
      <c r="B150" s="7" t="s">
        <v>83</v>
      </c>
      <c r="C150" s="7" t="s">
        <v>246</v>
      </c>
      <c r="D150" s="7" t="s">
        <v>69</v>
      </c>
      <c r="E150" s="7" t="s">
        <v>27</v>
      </c>
      <c r="F150" s="7" t="s">
        <v>32</v>
      </c>
      <c r="G150" s="7">
        <v>20</v>
      </c>
      <c r="H150" s="7" t="s">
        <v>21</v>
      </c>
      <c r="I150" s="7">
        <v>19</v>
      </c>
      <c r="J150" s="7">
        <v>18</v>
      </c>
      <c r="K150" s="7">
        <v>1</v>
      </c>
      <c r="L150" s="7">
        <v>7</v>
      </c>
      <c r="M150" s="7">
        <v>5.7</v>
      </c>
      <c r="N150" s="7">
        <v>0</v>
      </c>
      <c r="O150" s="2">
        <v>0.90700000000000003</v>
      </c>
      <c r="P150" s="2">
        <v>0.82899999999999996</v>
      </c>
      <c r="Q150" s="2">
        <v>0.876</v>
      </c>
      <c r="R150" s="7" t="s">
        <v>40</v>
      </c>
    </row>
    <row r="151" spans="1:18" x14ac:dyDescent="0.25">
      <c r="A151" s="1">
        <v>46339</v>
      </c>
      <c r="B151" s="7" t="s">
        <v>83</v>
      </c>
      <c r="C151" s="7" t="s">
        <v>247</v>
      </c>
      <c r="D151" s="7" t="s">
        <v>62</v>
      </c>
      <c r="E151" s="7" t="s">
        <v>19</v>
      </c>
      <c r="F151" s="7" t="s">
        <v>20</v>
      </c>
      <c r="G151" s="7">
        <v>21</v>
      </c>
      <c r="H151" s="7" t="s">
        <v>21</v>
      </c>
      <c r="I151" s="7">
        <v>14</v>
      </c>
      <c r="J151" s="7">
        <v>12</v>
      </c>
      <c r="K151" s="7">
        <v>2</v>
      </c>
      <c r="L151" s="7">
        <v>8</v>
      </c>
      <c r="M151" s="7">
        <v>8.1999999999999993</v>
      </c>
      <c r="N151" s="7">
        <v>0.2</v>
      </c>
      <c r="O151" s="2">
        <v>0.85099999999999998</v>
      </c>
      <c r="P151" s="2">
        <v>0.92300000000000004</v>
      </c>
      <c r="Q151" s="2">
        <v>0.88</v>
      </c>
      <c r="R151" s="7" t="s">
        <v>40</v>
      </c>
    </row>
    <row r="152" spans="1:18" x14ac:dyDescent="0.25">
      <c r="A152" s="1">
        <v>46340</v>
      </c>
      <c r="B152" s="7" t="s">
        <v>83</v>
      </c>
      <c r="C152" s="7" t="s">
        <v>248</v>
      </c>
      <c r="D152" s="7" t="s">
        <v>70</v>
      </c>
      <c r="E152" s="7" t="s">
        <v>19</v>
      </c>
      <c r="F152" s="7" t="s">
        <v>28</v>
      </c>
      <c r="G152" s="7">
        <v>20</v>
      </c>
      <c r="H152" s="7" t="s">
        <v>21</v>
      </c>
      <c r="I152" s="7">
        <v>20</v>
      </c>
      <c r="J152" s="7">
        <v>23</v>
      </c>
      <c r="K152" s="7">
        <v>0</v>
      </c>
      <c r="L152" s="7">
        <v>9</v>
      </c>
      <c r="M152" s="7">
        <v>6.8</v>
      </c>
      <c r="N152" s="7">
        <v>0</v>
      </c>
      <c r="O152" s="2">
        <v>1</v>
      </c>
      <c r="P152" s="2">
        <v>1</v>
      </c>
      <c r="Q152" s="2">
        <v>1</v>
      </c>
      <c r="R152" s="7" t="s">
        <v>22</v>
      </c>
    </row>
    <row r="153" spans="1:18" x14ac:dyDescent="0.25">
      <c r="A153" s="1">
        <v>46341</v>
      </c>
      <c r="B153" s="7" t="s">
        <v>83</v>
      </c>
      <c r="C153" s="7" t="s">
        <v>249</v>
      </c>
      <c r="D153" s="7" t="s">
        <v>79</v>
      </c>
      <c r="E153" s="7" t="s">
        <v>27</v>
      </c>
      <c r="F153" s="7" t="s">
        <v>32</v>
      </c>
      <c r="G153" s="7">
        <v>20</v>
      </c>
      <c r="H153" s="7" t="s">
        <v>21</v>
      </c>
      <c r="I153" s="7">
        <v>8</v>
      </c>
      <c r="J153" s="7">
        <v>6</v>
      </c>
      <c r="K153" s="7">
        <v>2</v>
      </c>
      <c r="L153" s="7">
        <v>8</v>
      </c>
      <c r="M153" s="7">
        <v>8.1999999999999993</v>
      </c>
      <c r="N153" s="7">
        <v>0.2</v>
      </c>
      <c r="O153" s="2">
        <v>0.67</v>
      </c>
      <c r="P153" s="2">
        <v>0.63600000000000001</v>
      </c>
      <c r="Q153" s="2">
        <v>0.65600000000000003</v>
      </c>
      <c r="R153" s="7" t="s">
        <v>54</v>
      </c>
    </row>
    <row r="154" spans="1:18" x14ac:dyDescent="0.25">
      <c r="A154" s="1">
        <v>46342</v>
      </c>
      <c r="B154" s="7" t="s">
        <v>83</v>
      </c>
      <c r="C154" s="7" t="s">
        <v>133</v>
      </c>
      <c r="D154" s="7" t="s">
        <v>72</v>
      </c>
      <c r="E154" s="7" t="s">
        <v>27</v>
      </c>
      <c r="F154" s="7" t="s">
        <v>20</v>
      </c>
      <c r="G154" s="7">
        <v>21</v>
      </c>
      <c r="H154" s="7" t="s">
        <v>21</v>
      </c>
      <c r="I154" s="7">
        <v>14</v>
      </c>
      <c r="J154" s="7">
        <v>16</v>
      </c>
      <c r="K154" s="7">
        <v>0</v>
      </c>
      <c r="L154" s="7">
        <v>9</v>
      </c>
      <c r="M154" s="7">
        <v>9.8000000000000007</v>
      </c>
      <c r="N154" s="7">
        <v>0.8</v>
      </c>
      <c r="O154" s="2">
        <v>1</v>
      </c>
      <c r="P154" s="2">
        <v>1</v>
      </c>
      <c r="Q154" s="2">
        <v>1</v>
      </c>
      <c r="R154" s="7" t="s">
        <v>22</v>
      </c>
    </row>
    <row r="155" spans="1:18" x14ac:dyDescent="0.25">
      <c r="A155" s="1">
        <v>46343</v>
      </c>
      <c r="B155" s="7" t="s">
        <v>83</v>
      </c>
      <c r="C155" s="7" t="s">
        <v>250</v>
      </c>
      <c r="D155" s="7" t="s">
        <v>73</v>
      </c>
      <c r="E155" s="7" t="s">
        <v>31</v>
      </c>
      <c r="F155" s="7" t="s">
        <v>24</v>
      </c>
      <c r="G155" s="7">
        <v>22</v>
      </c>
      <c r="H155" s="7" t="s">
        <v>21</v>
      </c>
      <c r="I155" s="7">
        <v>10</v>
      </c>
      <c r="J155" s="7">
        <v>8</v>
      </c>
      <c r="K155" s="7">
        <v>2</v>
      </c>
      <c r="L155" s="7">
        <v>8</v>
      </c>
      <c r="M155" s="7">
        <v>8.1999999999999993</v>
      </c>
      <c r="N155" s="7">
        <v>0.2</v>
      </c>
      <c r="O155" s="2">
        <v>0.755</v>
      </c>
      <c r="P155" s="2">
        <v>0.64800000000000002</v>
      </c>
      <c r="Q155" s="2">
        <v>0.71199999999999997</v>
      </c>
      <c r="R155" s="7" t="s">
        <v>54</v>
      </c>
    </row>
    <row r="156" spans="1:18" x14ac:dyDescent="0.25">
      <c r="A156" s="1">
        <v>46344</v>
      </c>
      <c r="B156" s="7" t="s">
        <v>83</v>
      </c>
      <c r="C156" s="7" t="s">
        <v>251</v>
      </c>
      <c r="D156" s="7" t="s">
        <v>74</v>
      </c>
      <c r="E156" s="7" t="s">
        <v>31</v>
      </c>
      <c r="F156" s="7" t="s">
        <v>28</v>
      </c>
      <c r="G156" s="7">
        <v>22</v>
      </c>
      <c r="H156" s="7" t="s">
        <v>37</v>
      </c>
      <c r="I156" s="7">
        <v>8</v>
      </c>
      <c r="J156" s="7">
        <v>10</v>
      </c>
      <c r="K156" s="7">
        <v>0</v>
      </c>
      <c r="L156" s="7">
        <v>8</v>
      </c>
      <c r="M156" s="7">
        <v>7.9</v>
      </c>
      <c r="N156" s="7">
        <v>0</v>
      </c>
      <c r="O156" s="2">
        <v>1</v>
      </c>
      <c r="P156" s="2">
        <v>1</v>
      </c>
      <c r="Q156" s="2">
        <v>1</v>
      </c>
      <c r="R156" s="7" t="s">
        <v>22</v>
      </c>
    </row>
    <row r="157" spans="1:18" x14ac:dyDescent="0.25">
      <c r="A157" s="1">
        <v>46345</v>
      </c>
      <c r="B157" s="7" t="s">
        <v>83</v>
      </c>
      <c r="C157" s="7" t="s">
        <v>252</v>
      </c>
      <c r="D157" s="7" t="s">
        <v>75</v>
      </c>
      <c r="E157" s="7" t="s">
        <v>35</v>
      </c>
      <c r="F157" s="7" t="s">
        <v>20</v>
      </c>
      <c r="G157" s="7">
        <v>22</v>
      </c>
      <c r="H157" s="7" t="s">
        <v>37</v>
      </c>
      <c r="I157" s="7">
        <v>10</v>
      </c>
      <c r="J157" s="7">
        <v>7</v>
      </c>
      <c r="K157" s="7">
        <v>3</v>
      </c>
      <c r="L157" s="7">
        <v>9</v>
      </c>
      <c r="M157" s="7">
        <v>8.6999999999999993</v>
      </c>
      <c r="N157" s="7">
        <v>0</v>
      </c>
      <c r="O157" s="2">
        <v>0.63300000000000001</v>
      </c>
      <c r="P157" s="2">
        <v>0.55400000000000005</v>
      </c>
      <c r="Q157" s="2">
        <v>0.60099999999999998</v>
      </c>
      <c r="R157" s="7" t="s">
        <v>54</v>
      </c>
    </row>
    <row r="158" spans="1:18" x14ac:dyDescent="0.25">
      <c r="A158" s="1">
        <v>46346</v>
      </c>
      <c r="B158" s="6" t="s">
        <v>83</v>
      </c>
      <c r="C158" s="7" t="s">
        <v>253</v>
      </c>
      <c r="D158" s="7" t="s">
        <v>76</v>
      </c>
      <c r="E158" s="7" t="s">
        <v>35</v>
      </c>
      <c r="F158" s="7" t="s">
        <v>32</v>
      </c>
      <c r="G158" s="7">
        <v>22</v>
      </c>
      <c r="H158" s="7" t="s">
        <v>21</v>
      </c>
      <c r="I158" s="7">
        <v>18</v>
      </c>
      <c r="J158" s="7">
        <v>21</v>
      </c>
      <c r="K158" s="7">
        <v>0</v>
      </c>
      <c r="L158" s="7">
        <v>7</v>
      </c>
      <c r="M158" s="7">
        <v>5.4</v>
      </c>
      <c r="N158" s="7">
        <v>0</v>
      </c>
      <c r="O158" s="2">
        <v>1</v>
      </c>
      <c r="P158" s="2">
        <v>1</v>
      </c>
      <c r="Q158" s="2">
        <v>1</v>
      </c>
      <c r="R158" s="7" t="s">
        <v>22</v>
      </c>
    </row>
    <row r="159" spans="1:18" x14ac:dyDescent="0.25">
      <c r="A159" s="1">
        <v>46358</v>
      </c>
      <c r="B159" s="7" t="s">
        <v>82</v>
      </c>
      <c r="C159" s="7" t="s">
        <v>254</v>
      </c>
      <c r="D159" s="7" t="s">
        <v>77</v>
      </c>
      <c r="E159" s="7" t="s">
        <v>39</v>
      </c>
      <c r="F159" s="7" t="s">
        <v>24</v>
      </c>
      <c r="G159" s="7">
        <v>22</v>
      </c>
      <c r="H159" s="7" t="s">
        <v>21</v>
      </c>
      <c r="I159" s="7">
        <v>17</v>
      </c>
      <c r="J159" s="7">
        <v>18</v>
      </c>
      <c r="K159" s="7">
        <v>0</v>
      </c>
      <c r="L159" s="7">
        <v>7</v>
      </c>
      <c r="M159" s="7">
        <v>6.2</v>
      </c>
      <c r="N159" s="7">
        <v>0</v>
      </c>
      <c r="O159" s="2">
        <v>1</v>
      </c>
      <c r="P159" s="2">
        <v>0.97199999999999998</v>
      </c>
      <c r="Q159" s="2">
        <v>0.98899999999999999</v>
      </c>
      <c r="R159" s="7" t="s">
        <v>22</v>
      </c>
    </row>
    <row r="160" spans="1:18" x14ac:dyDescent="0.25">
      <c r="A160" s="1">
        <v>46359</v>
      </c>
      <c r="B160" s="7" t="s">
        <v>82</v>
      </c>
      <c r="C160" s="7" t="s">
        <v>255</v>
      </c>
      <c r="D160" s="7" t="s">
        <v>64</v>
      </c>
      <c r="E160" s="7" t="s">
        <v>43</v>
      </c>
      <c r="F160" s="7" t="s">
        <v>20</v>
      </c>
      <c r="G160" s="7">
        <v>20</v>
      </c>
      <c r="H160" s="7" t="s">
        <v>21</v>
      </c>
      <c r="I160" s="7">
        <v>14</v>
      </c>
      <c r="J160" s="7">
        <v>12</v>
      </c>
      <c r="K160" s="7">
        <v>2</v>
      </c>
      <c r="L160" s="7">
        <v>9</v>
      </c>
      <c r="M160" s="7">
        <v>10.199999999999999</v>
      </c>
      <c r="N160" s="7">
        <v>1.2</v>
      </c>
      <c r="O160" s="2">
        <v>0.88</v>
      </c>
      <c r="P160" s="2">
        <v>0.86099999999999999</v>
      </c>
      <c r="Q160" s="2">
        <v>0.872</v>
      </c>
      <c r="R160" s="7" t="s">
        <v>40</v>
      </c>
    </row>
    <row r="161" spans="1:18" x14ac:dyDescent="0.25">
      <c r="A161" s="1">
        <v>46360</v>
      </c>
      <c r="B161" s="7" t="s">
        <v>82</v>
      </c>
      <c r="C161" s="7" t="s">
        <v>256</v>
      </c>
      <c r="D161" s="7" t="s">
        <v>78</v>
      </c>
      <c r="E161" s="7" t="s">
        <v>43</v>
      </c>
      <c r="F161" s="7" t="s">
        <v>32</v>
      </c>
      <c r="G161" s="7">
        <v>20</v>
      </c>
      <c r="H161" s="7" t="s">
        <v>21</v>
      </c>
      <c r="I161" s="7">
        <v>15</v>
      </c>
      <c r="J161" s="7">
        <v>16</v>
      </c>
      <c r="K161" s="7">
        <v>0</v>
      </c>
      <c r="L161" s="7">
        <v>9</v>
      </c>
      <c r="M161" s="7">
        <v>9.4</v>
      </c>
      <c r="N161" s="7">
        <v>0.4</v>
      </c>
      <c r="O161" s="2">
        <v>1</v>
      </c>
      <c r="P161" s="2">
        <v>0.89600000000000002</v>
      </c>
      <c r="Q161" s="2">
        <v>0.95799999999999996</v>
      </c>
      <c r="R161" s="7" t="s">
        <v>22</v>
      </c>
    </row>
    <row r="162" spans="1:18" x14ac:dyDescent="0.25">
      <c r="A162" s="1">
        <v>46361</v>
      </c>
      <c r="B162" s="7" t="s">
        <v>82</v>
      </c>
      <c r="C162" s="7" t="s">
        <v>257</v>
      </c>
      <c r="D162" s="7" t="s">
        <v>65</v>
      </c>
      <c r="E162" s="7" t="s">
        <v>19</v>
      </c>
      <c r="F162" s="7" t="s">
        <v>28</v>
      </c>
      <c r="G162" s="7">
        <v>20</v>
      </c>
      <c r="H162" s="7" t="s">
        <v>37</v>
      </c>
      <c r="I162" s="7">
        <v>12</v>
      </c>
      <c r="J162" s="7">
        <v>10</v>
      </c>
      <c r="K162" s="7">
        <v>2</v>
      </c>
      <c r="L162" s="7">
        <v>8</v>
      </c>
      <c r="M162" s="7">
        <v>6.1</v>
      </c>
      <c r="N162" s="7">
        <v>0</v>
      </c>
      <c r="O162" s="2">
        <v>0.89400000000000002</v>
      </c>
      <c r="P162" s="2">
        <v>0.96699999999999997</v>
      </c>
      <c r="Q162" s="2">
        <v>0.92300000000000004</v>
      </c>
      <c r="R162" s="7" t="s">
        <v>22</v>
      </c>
    </row>
    <row r="163" spans="1:18" x14ac:dyDescent="0.25">
      <c r="A163" s="1">
        <v>46362</v>
      </c>
      <c r="B163" s="7" t="s">
        <v>82</v>
      </c>
      <c r="C163" s="7" t="s">
        <v>258</v>
      </c>
      <c r="D163" s="7" t="s">
        <v>86</v>
      </c>
      <c r="E163" s="7" t="s">
        <v>27</v>
      </c>
      <c r="F163" s="7" t="s">
        <v>24</v>
      </c>
      <c r="G163" s="7">
        <v>21</v>
      </c>
      <c r="H163" s="7" t="s">
        <v>21</v>
      </c>
      <c r="I163" s="7">
        <v>10</v>
      </c>
      <c r="J163" s="7">
        <v>10</v>
      </c>
      <c r="K163" s="7">
        <v>0</v>
      </c>
      <c r="L163" s="7">
        <v>9</v>
      </c>
      <c r="M163" s="7">
        <v>9.4</v>
      </c>
      <c r="N163" s="7">
        <v>0.4</v>
      </c>
      <c r="O163" s="2">
        <v>1</v>
      </c>
      <c r="P163" s="2">
        <v>1</v>
      </c>
      <c r="Q163" s="2">
        <v>1</v>
      </c>
      <c r="R163" s="7" t="s">
        <v>22</v>
      </c>
    </row>
    <row r="164" spans="1:18" x14ac:dyDescent="0.25">
      <c r="A164" s="1">
        <v>46363</v>
      </c>
      <c r="B164" s="7" t="s">
        <v>82</v>
      </c>
      <c r="C164" s="7" t="s">
        <v>259</v>
      </c>
      <c r="D164" s="7" t="s">
        <v>87</v>
      </c>
      <c r="E164" s="7" t="s">
        <v>31</v>
      </c>
      <c r="F164" s="7" t="s">
        <v>20</v>
      </c>
      <c r="G164" s="7">
        <v>22</v>
      </c>
      <c r="H164" s="7" t="s">
        <v>37</v>
      </c>
      <c r="I164" s="7">
        <v>8</v>
      </c>
      <c r="J164" s="7">
        <v>10</v>
      </c>
      <c r="K164" s="7">
        <v>0</v>
      </c>
      <c r="L164" s="7">
        <v>9</v>
      </c>
      <c r="M164" s="7">
        <v>8.6</v>
      </c>
      <c r="N164" s="7">
        <v>0</v>
      </c>
      <c r="O164" s="2">
        <v>1</v>
      </c>
      <c r="P164" s="2">
        <v>1</v>
      </c>
      <c r="Q164" s="2">
        <v>1</v>
      </c>
      <c r="R164" s="7" t="s">
        <v>22</v>
      </c>
    </row>
    <row r="165" spans="1:18" x14ac:dyDescent="0.25">
      <c r="A165" s="1">
        <v>46364</v>
      </c>
      <c r="B165" s="7" t="s">
        <v>82</v>
      </c>
      <c r="C165" s="7" t="s">
        <v>260</v>
      </c>
      <c r="D165" s="7" t="s">
        <v>88</v>
      </c>
      <c r="E165" s="7" t="s">
        <v>27</v>
      </c>
      <c r="F165" s="7" t="s">
        <v>32</v>
      </c>
      <c r="G165" s="7">
        <v>20</v>
      </c>
      <c r="H165" s="7" t="s">
        <v>21</v>
      </c>
      <c r="I165" s="7">
        <v>9</v>
      </c>
      <c r="J165" s="7">
        <v>6</v>
      </c>
      <c r="K165" s="7">
        <v>70</v>
      </c>
      <c r="L165" s="7">
        <v>9</v>
      </c>
      <c r="M165" s="7">
        <v>8.3000000000000007</v>
      </c>
      <c r="N165" s="7">
        <v>0</v>
      </c>
      <c r="O165" s="2">
        <v>0.67500000000000004</v>
      </c>
      <c r="P165" s="2">
        <v>0.61499999999999999</v>
      </c>
      <c r="Q165" s="2">
        <v>0.65100000000000002</v>
      </c>
      <c r="R165" s="7" t="s">
        <v>54</v>
      </c>
    </row>
    <row r="166" spans="1:18" x14ac:dyDescent="0.25">
      <c r="A166" s="1">
        <v>46365</v>
      </c>
      <c r="B166" s="7" t="s">
        <v>82</v>
      </c>
      <c r="C166" s="7" t="s">
        <v>261</v>
      </c>
      <c r="D166" s="7" t="s">
        <v>61</v>
      </c>
      <c r="E166" s="7" t="s">
        <v>31</v>
      </c>
      <c r="F166" s="7" t="s">
        <v>28</v>
      </c>
      <c r="G166" s="7">
        <v>22</v>
      </c>
      <c r="H166" s="7" t="s">
        <v>21</v>
      </c>
      <c r="I166" s="7">
        <v>12</v>
      </c>
      <c r="J166" s="7">
        <v>15</v>
      </c>
      <c r="K166" s="7">
        <v>0</v>
      </c>
      <c r="L166" s="7">
        <v>7</v>
      </c>
      <c r="M166" s="7">
        <v>8.1</v>
      </c>
      <c r="N166" s="7">
        <v>1.1000000000000001</v>
      </c>
      <c r="O166" s="2">
        <v>1</v>
      </c>
      <c r="P166" s="2">
        <v>0.97299999999999998</v>
      </c>
      <c r="Q166" s="2">
        <v>0.98899999999999999</v>
      </c>
      <c r="R166" s="7" t="s">
        <v>22</v>
      </c>
    </row>
    <row r="167" spans="1:18" x14ac:dyDescent="0.25">
      <c r="A167" s="1">
        <v>46366</v>
      </c>
      <c r="B167" s="7" t="s">
        <v>82</v>
      </c>
      <c r="C167" s="7" t="s">
        <v>262</v>
      </c>
      <c r="D167" s="7" t="s">
        <v>89</v>
      </c>
      <c r="E167" s="7" t="s">
        <v>35</v>
      </c>
      <c r="F167" s="7" t="s">
        <v>32</v>
      </c>
      <c r="G167" s="7">
        <v>21</v>
      </c>
      <c r="H167" s="7" t="s">
        <v>21</v>
      </c>
      <c r="I167" s="7">
        <v>8</v>
      </c>
      <c r="J167" s="7">
        <v>7</v>
      </c>
      <c r="K167" s="7">
        <v>1</v>
      </c>
      <c r="L167" s="7">
        <v>7</v>
      </c>
      <c r="M167" s="7">
        <v>8</v>
      </c>
      <c r="N167" s="7">
        <v>1</v>
      </c>
      <c r="O167" s="2">
        <v>0.89700000000000002</v>
      </c>
      <c r="P167" s="2">
        <v>0.83499999999999996</v>
      </c>
      <c r="Q167" s="2">
        <v>0.872</v>
      </c>
      <c r="R167" s="7" t="s">
        <v>40</v>
      </c>
    </row>
    <row r="168" spans="1:18" x14ac:dyDescent="0.25">
      <c r="A168" s="1">
        <v>46367</v>
      </c>
      <c r="B168" s="7" t="s">
        <v>82</v>
      </c>
      <c r="C168" s="7" t="s">
        <v>263</v>
      </c>
      <c r="D168" s="7" t="s">
        <v>90</v>
      </c>
      <c r="E168" s="7" t="s">
        <v>39</v>
      </c>
      <c r="F168" s="7" t="s">
        <v>20</v>
      </c>
      <c r="G168" s="7">
        <v>22</v>
      </c>
      <c r="H168" s="7" t="s">
        <v>21</v>
      </c>
      <c r="I168" s="7">
        <v>16</v>
      </c>
      <c r="J168" s="7">
        <v>18</v>
      </c>
      <c r="K168" s="7">
        <v>0</v>
      </c>
      <c r="L168" s="7">
        <v>8</v>
      </c>
      <c r="M168" s="7">
        <v>7.1</v>
      </c>
      <c r="N168" s="7">
        <v>0</v>
      </c>
      <c r="O168" s="2">
        <v>1</v>
      </c>
      <c r="P168" s="2">
        <v>0.90500000000000003</v>
      </c>
      <c r="Q168" s="2">
        <v>0.96199999999999997</v>
      </c>
      <c r="R168" s="7" t="s">
        <v>22</v>
      </c>
    </row>
    <row r="169" spans="1:18" x14ac:dyDescent="0.25">
      <c r="A169" s="1">
        <v>46368</v>
      </c>
      <c r="B169" s="7" t="s">
        <v>82</v>
      </c>
      <c r="C169" s="7" t="s">
        <v>264</v>
      </c>
      <c r="D169" s="7" t="s">
        <v>91</v>
      </c>
      <c r="E169" s="7" t="s">
        <v>43</v>
      </c>
      <c r="F169" s="7" t="s">
        <v>28</v>
      </c>
      <c r="G169" s="7">
        <v>22</v>
      </c>
      <c r="H169" s="7" t="s">
        <v>21</v>
      </c>
      <c r="I169" s="7">
        <v>16</v>
      </c>
      <c r="J169" s="7">
        <v>13</v>
      </c>
      <c r="K169" s="7">
        <v>3</v>
      </c>
      <c r="L169" s="7">
        <v>8</v>
      </c>
      <c r="M169" s="7">
        <v>7.7</v>
      </c>
      <c r="N169" s="7">
        <v>0</v>
      </c>
      <c r="O169" s="2">
        <v>0.82599999999999996</v>
      </c>
      <c r="P169" s="2">
        <v>0.73899999999999999</v>
      </c>
      <c r="Q169" s="2">
        <v>0.79100000000000004</v>
      </c>
      <c r="R169" s="7" t="s">
        <v>40</v>
      </c>
    </row>
    <row r="170" spans="1:18" x14ac:dyDescent="0.25">
      <c r="A170" s="1">
        <v>46369</v>
      </c>
      <c r="B170" s="7" t="s">
        <v>82</v>
      </c>
      <c r="C170" s="7" t="s">
        <v>265</v>
      </c>
      <c r="D170" s="7" t="s">
        <v>71</v>
      </c>
      <c r="E170" s="7" t="s">
        <v>27</v>
      </c>
      <c r="F170" s="7" t="s">
        <v>24</v>
      </c>
      <c r="G170" s="7">
        <v>20</v>
      </c>
      <c r="H170" s="7" t="s">
        <v>21</v>
      </c>
      <c r="I170" s="7">
        <v>12</v>
      </c>
      <c r="J170" s="7">
        <v>11</v>
      </c>
      <c r="K170" s="7">
        <v>1</v>
      </c>
      <c r="L170" s="7">
        <v>7</v>
      </c>
      <c r="M170" s="7">
        <v>7.4</v>
      </c>
      <c r="N170" s="7">
        <v>0.4</v>
      </c>
      <c r="O170" s="2">
        <v>0.98</v>
      </c>
      <c r="P170" s="2">
        <v>0.90600000000000003</v>
      </c>
      <c r="Q170" s="2">
        <v>0.95</v>
      </c>
      <c r="R170" s="7" t="s">
        <v>22</v>
      </c>
    </row>
    <row r="171" spans="1:18" x14ac:dyDescent="0.25">
      <c r="A171" s="1">
        <v>46370</v>
      </c>
      <c r="B171" s="7" t="s">
        <v>82</v>
      </c>
      <c r="C171" s="7" t="s">
        <v>266</v>
      </c>
      <c r="D171" s="7" t="s">
        <v>79</v>
      </c>
      <c r="E171" s="7" t="s">
        <v>19</v>
      </c>
      <c r="F171" s="7" t="s">
        <v>24</v>
      </c>
      <c r="G171" s="7">
        <v>22</v>
      </c>
      <c r="H171" s="7" t="s">
        <v>21</v>
      </c>
      <c r="I171" s="7">
        <v>10</v>
      </c>
      <c r="J171" s="7">
        <v>8</v>
      </c>
      <c r="K171" s="7">
        <v>2</v>
      </c>
      <c r="L171" s="7">
        <v>8</v>
      </c>
      <c r="M171" s="7">
        <v>8.1999999999999993</v>
      </c>
      <c r="N171" s="7">
        <v>0.2</v>
      </c>
      <c r="O171" s="2">
        <v>0.755</v>
      </c>
      <c r="P171" s="2">
        <v>0.64800000000000002</v>
      </c>
      <c r="Q171" s="2">
        <v>0.71199999999999997</v>
      </c>
      <c r="R171" s="7" t="s">
        <v>54</v>
      </c>
    </row>
    <row r="172" spans="1:18" x14ac:dyDescent="0.25">
      <c r="A172" s="1">
        <v>46371</v>
      </c>
      <c r="B172" s="7" t="s">
        <v>82</v>
      </c>
      <c r="C172" s="7" t="s">
        <v>267</v>
      </c>
      <c r="D172" s="7" t="s">
        <v>72</v>
      </c>
      <c r="E172" s="7" t="s">
        <v>19</v>
      </c>
      <c r="F172" s="7" t="s">
        <v>28</v>
      </c>
      <c r="G172" s="7">
        <v>22</v>
      </c>
      <c r="H172" s="7" t="s">
        <v>37</v>
      </c>
      <c r="I172" s="7">
        <v>8</v>
      </c>
      <c r="J172" s="7">
        <v>10</v>
      </c>
      <c r="K172" s="7">
        <v>0</v>
      </c>
      <c r="L172" s="7">
        <v>8</v>
      </c>
      <c r="M172" s="7">
        <v>7.9</v>
      </c>
      <c r="N172" s="7">
        <v>0</v>
      </c>
      <c r="O172" s="2">
        <v>1</v>
      </c>
      <c r="P172" s="2">
        <v>1</v>
      </c>
      <c r="Q172" s="2">
        <v>1</v>
      </c>
      <c r="R172" s="7" t="s">
        <v>22</v>
      </c>
    </row>
    <row r="173" spans="1:18" x14ac:dyDescent="0.25">
      <c r="A173" s="1">
        <v>46372</v>
      </c>
      <c r="B173" s="7" t="s">
        <v>82</v>
      </c>
      <c r="C173" s="7" t="s">
        <v>268</v>
      </c>
      <c r="D173" s="7" t="s">
        <v>94</v>
      </c>
      <c r="E173" s="7" t="s">
        <v>27</v>
      </c>
      <c r="F173" s="7" t="s">
        <v>20</v>
      </c>
      <c r="G173" s="7">
        <v>22</v>
      </c>
      <c r="H173" s="7" t="s">
        <v>37</v>
      </c>
      <c r="I173" s="7">
        <v>10</v>
      </c>
      <c r="J173" s="7">
        <v>7</v>
      </c>
      <c r="K173" s="7">
        <v>3</v>
      </c>
      <c r="L173" s="7">
        <v>9</v>
      </c>
      <c r="M173" s="7">
        <v>8.6999999999999993</v>
      </c>
      <c r="N173" s="7">
        <v>0</v>
      </c>
      <c r="O173" s="2">
        <v>0.63300000000000001</v>
      </c>
      <c r="P173" s="2">
        <v>0.55400000000000005</v>
      </c>
      <c r="Q173" s="2">
        <v>0.60099999999999998</v>
      </c>
      <c r="R173" s="7" t="s">
        <v>54</v>
      </c>
    </row>
    <row r="174" spans="1:18" x14ac:dyDescent="0.25">
      <c r="A174" s="1">
        <v>46373</v>
      </c>
      <c r="B174" s="7" t="s">
        <v>82</v>
      </c>
      <c r="C174" s="7" t="s">
        <v>269</v>
      </c>
      <c r="D174" s="7" t="s">
        <v>93</v>
      </c>
      <c r="E174" s="7" t="s">
        <v>27</v>
      </c>
      <c r="F174" s="7" t="s">
        <v>32</v>
      </c>
      <c r="G174" s="7">
        <v>22</v>
      </c>
      <c r="H174" s="7" t="s">
        <v>21</v>
      </c>
      <c r="I174" s="7">
        <v>18</v>
      </c>
      <c r="J174" s="7">
        <v>21</v>
      </c>
      <c r="K174" s="7">
        <v>0</v>
      </c>
      <c r="L174" s="7">
        <v>7</v>
      </c>
      <c r="M174" s="7">
        <v>5.4</v>
      </c>
      <c r="N174" s="7">
        <v>0</v>
      </c>
      <c r="O174" s="2">
        <v>1</v>
      </c>
      <c r="P174" s="2">
        <v>1</v>
      </c>
      <c r="Q174" s="2">
        <v>1</v>
      </c>
      <c r="R174" s="7" t="s">
        <v>22</v>
      </c>
    </row>
    <row r="175" spans="1:18" x14ac:dyDescent="0.25">
      <c r="A175" s="1">
        <v>46374</v>
      </c>
      <c r="B175" s="7" t="s">
        <v>82</v>
      </c>
      <c r="C175" s="7" t="s">
        <v>270</v>
      </c>
      <c r="D175" s="7" t="s">
        <v>76</v>
      </c>
      <c r="E175" s="7" t="s">
        <v>31</v>
      </c>
      <c r="F175" s="7" t="s">
        <v>24</v>
      </c>
      <c r="G175" s="7">
        <v>22</v>
      </c>
      <c r="H175" s="7" t="s">
        <v>21</v>
      </c>
      <c r="I175" s="7">
        <v>17</v>
      </c>
      <c r="J175" s="7">
        <v>18</v>
      </c>
      <c r="K175" s="7">
        <v>0</v>
      </c>
      <c r="L175" s="7">
        <v>7</v>
      </c>
      <c r="M175" s="7">
        <v>6.2</v>
      </c>
      <c r="N175" s="7">
        <v>0</v>
      </c>
      <c r="O175" s="2">
        <v>1</v>
      </c>
      <c r="P175" s="2">
        <v>0.97199999999999998</v>
      </c>
      <c r="Q175" s="2">
        <v>0.98899999999999999</v>
      </c>
      <c r="R175" s="7" t="s">
        <v>22</v>
      </c>
    </row>
    <row r="176" spans="1:18" x14ac:dyDescent="0.25">
      <c r="A176" s="1">
        <v>46375</v>
      </c>
      <c r="B176" s="7" t="s">
        <v>82</v>
      </c>
      <c r="C176" s="7" t="s">
        <v>271</v>
      </c>
      <c r="D176" s="7" t="s">
        <v>77</v>
      </c>
      <c r="E176" s="7" t="s">
        <v>31</v>
      </c>
      <c r="F176" s="7" t="s">
        <v>20</v>
      </c>
      <c r="G176" s="7">
        <v>20</v>
      </c>
      <c r="H176" s="7" t="s">
        <v>21</v>
      </c>
      <c r="I176" s="7">
        <v>14</v>
      </c>
      <c r="J176" s="7">
        <v>12</v>
      </c>
      <c r="K176" s="7">
        <v>2</v>
      </c>
      <c r="L176" s="7">
        <v>9</v>
      </c>
      <c r="M176" s="7">
        <v>10.199999999999999</v>
      </c>
      <c r="N176" s="7">
        <v>1.2</v>
      </c>
      <c r="O176" s="2">
        <v>0.88</v>
      </c>
      <c r="P176" s="2">
        <v>0.86099999999999999</v>
      </c>
      <c r="Q176" s="2">
        <v>0.872</v>
      </c>
      <c r="R176" s="7" t="s">
        <v>40</v>
      </c>
    </row>
    <row r="177" spans="1:18" x14ac:dyDescent="0.25">
      <c r="A177" s="1">
        <v>46376</v>
      </c>
      <c r="B177" s="7" t="s">
        <v>82</v>
      </c>
      <c r="C177" s="7" t="s">
        <v>272</v>
      </c>
      <c r="D177" s="7" t="s">
        <v>63</v>
      </c>
      <c r="E177" s="7" t="s">
        <v>35</v>
      </c>
      <c r="F177" s="7" t="s">
        <v>32</v>
      </c>
      <c r="G177" s="7">
        <v>20</v>
      </c>
      <c r="H177" s="7" t="s">
        <v>21</v>
      </c>
      <c r="I177" s="7">
        <v>15</v>
      </c>
      <c r="J177" s="7">
        <v>16</v>
      </c>
      <c r="K177" s="7">
        <v>0</v>
      </c>
      <c r="L177" s="7">
        <v>9</v>
      </c>
      <c r="M177" s="7">
        <v>9.4</v>
      </c>
      <c r="N177" s="7">
        <v>0.4</v>
      </c>
      <c r="O177" s="2">
        <v>1</v>
      </c>
      <c r="P177" s="2">
        <v>0.89600000000000002</v>
      </c>
      <c r="Q177" s="2">
        <v>0.95799999999999996</v>
      </c>
      <c r="R177" s="7" t="s">
        <v>22</v>
      </c>
    </row>
    <row r="178" spans="1:18" x14ac:dyDescent="0.25">
      <c r="A178" s="1">
        <v>46377</v>
      </c>
      <c r="B178" s="7" t="s">
        <v>82</v>
      </c>
      <c r="C178" s="7" t="s">
        <v>273</v>
      </c>
      <c r="D178" s="7" t="s">
        <v>64</v>
      </c>
      <c r="E178" s="7" t="s">
        <v>35</v>
      </c>
      <c r="F178" s="7" t="s">
        <v>20</v>
      </c>
      <c r="G178" s="7">
        <v>21</v>
      </c>
      <c r="H178" s="7" t="s">
        <v>21</v>
      </c>
      <c r="I178" s="7">
        <v>15</v>
      </c>
      <c r="J178" s="7">
        <v>13</v>
      </c>
      <c r="K178" s="7">
        <v>2</v>
      </c>
      <c r="L178" s="7">
        <v>7</v>
      </c>
      <c r="M178" s="7">
        <v>7.3</v>
      </c>
      <c r="N178" s="7">
        <v>0.3</v>
      </c>
      <c r="O178" s="2">
        <v>0.82799999999999996</v>
      </c>
      <c r="P178" s="2">
        <v>0.78</v>
      </c>
      <c r="Q178" s="2">
        <v>0.80900000000000005</v>
      </c>
      <c r="R178" s="7" t="s">
        <v>40</v>
      </c>
    </row>
    <row r="179" spans="1:18" x14ac:dyDescent="0.25">
      <c r="A179" s="1">
        <v>46378</v>
      </c>
      <c r="B179" s="7" t="s">
        <v>82</v>
      </c>
      <c r="C179" s="7" t="s">
        <v>274</v>
      </c>
      <c r="D179" s="8" t="s">
        <v>78</v>
      </c>
      <c r="E179" s="7" t="s">
        <v>39</v>
      </c>
      <c r="F179" s="7" t="s">
        <v>28</v>
      </c>
      <c r="G179" s="7">
        <v>21</v>
      </c>
      <c r="H179" s="7" t="s">
        <v>21</v>
      </c>
      <c r="I179" s="7">
        <v>13</v>
      </c>
      <c r="J179" s="7">
        <v>16</v>
      </c>
      <c r="K179" s="7">
        <v>0</v>
      </c>
      <c r="L179" s="7">
        <v>8</v>
      </c>
      <c r="M179" s="7">
        <v>8.3000000000000007</v>
      </c>
      <c r="N179" s="7">
        <v>0.3</v>
      </c>
      <c r="O179" s="2">
        <v>1</v>
      </c>
      <c r="P179" s="2">
        <v>1</v>
      </c>
      <c r="Q179" s="2">
        <v>1</v>
      </c>
      <c r="R179" s="7" t="s">
        <v>22</v>
      </c>
    </row>
    <row r="180" spans="1:18" x14ac:dyDescent="0.25">
      <c r="A180" s="3">
        <v>46379</v>
      </c>
      <c r="B180" s="8" t="s">
        <v>82</v>
      </c>
      <c r="C180" s="8" t="s">
        <v>275</v>
      </c>
      <c r="D180" s="8" t="s">
        <v>85</v>
      </c>
      <c r="E180" s="8" t="s">
        <v>27</v>
      </c>
      <c r="F180" s="8" t="s">
        <v>20</v>
      </c>
      <c r="G180" s="8">
        <v>22</v>
      </c>
      <c r="H180" s="8" t="s">
        <v>37</v>
      </c>
      <c r="I180" s="8">
        <v>10</v>
      </c>
      <c r="J180" s="8">
        <v>7</v>
      </c>
      <c r="K180" s="8">
        <v>3</v>
      </c>
      <c r="L180" s="8">
        <v>9</v>
      </c>
      <c r="M180" s="8">
        <v>8.6999999999999993</v>
      </c>
      <c r="N180" s="8">
        <v>0</v>
      </c>
      <c r="O180" s="4">
        <v>0.63300000000000001</v>
      </c>
      <c r="P180" s="4">
        <v>0.55400000000000005</v>
      </c>
      <c r="Q180" s="4">
        <v>0.60099999999999998</v>
      </c>
      <c r="R180" s="4" t="s">
        <v>54</v>
      </c>
    </row>
    <row r="181" spans="1:18" x14ac:dyDescent="0.25">
      <c r="A181" s="3">
        <v>46380</v>
      </c>
      <c r="B181" s="7" t="s">
        <v>82</v>
      </c>
      <c r="C181" s="8" t="s">
        <v>293</v>
      </c>
      <c r="D181" s="19" t="s">
        <v>294</v>
      </c>
      <c r="E181" s="7" t="s">
        <v>43</v>
      </c>
      <c r="F181" s="7" t="s">
        <v>32</v>
      </c>
      <c r="G181" s="7">
        <v>20</v>
      </c>
      <c r="H181" s="7" t="s">
        <v>21</v>
      </c>
      <c r="I181" s="7">
        <v>15</v>
      </c>
      <c r="J181" s="7">
        <v>12</v>
      </c>
      <c r="K181" s="7">
        <v>0</v>
      </c>
      <c r="L181" s="7">
        <v>8</v>
      </c>
      <c r="M181" s="7">
        <v>8.9</v>
      </c>
      <c r="N181" s="7">
        <v>1.2</v>
      </c>
      <c r="O181" s="2">
        <v>1</v>
      </c>
      <c r="P181" s="2">
        <v>1</v>
      </c>
      <c r="Q181" s="2">
        <v>1</v>
      </c>
      <c r="R181" s="7" t="s">
        <v>22</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Employee Performance Dashboard</vt:lpstr>
      <vt:lpstr>Pivot Table</vt:lpstr>
      <vt:lpstr>KPI</vt:lpstr>
      <vt:lpstr>MAPPING TABLE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Gopinath N</cp:lastModifiedBy>
  <dcterms:created xsi:type="dcterms:W3CDTF">2026-09-09T09:25:33Z</dcterms:created>
  <dcterms:modified xsi:type="dcterms:W3CDTF">2026-09-26T16:39:25Z</dcterms:modified>
</cp:coreProperties>
</file>